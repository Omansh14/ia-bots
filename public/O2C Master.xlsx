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2C Sample" sheetId="1" r:id="rId4"/>
  </sheets>
  <definedNames/>
  <calcPr/>
</workbook>
</file>

<file path=xl/sharedStrings.xml><?xml version="1.0" encoding="utf-8"?>
<sst xmlns="http://schemas.openxmlformats.org/spreadsheetml/2006/main" count="229" uniqueCount="167">
  <si>
    <t>Customer</t>
  </si>
  <si>
    <t>SO_Date</t>
  </si>
  <si>
    <t>SLA_Dispatch_Days</t>
  </si>
  <si>
    <t>Delivery_No</t>
  </si>
  <si>
    <t>Delivery_Date</t>
  </si>
  <si>
    <t>Gap b/w SO &amp; Delivery Date</t>
  </si>
  <si>
    <t>Invoice_No</t>
  </si>
  <si>
    <t>Invoice_Date</t>
  </si>
  <si>
    <t>SO_Qty</t>
  </si>
  <si>
    <t>Delivery_Qty</t>
  </si>
  <si>
    <t>SO_Rate</t>
  </si>
  <si>
    <t>Invoice_Rate</t>
  </si>
  <si>
    <t>Discount (%)</t>
  </si>
  <si>
    <t>Taxable_Amount</t>
  </si>
  <si>
    <t>Receipt_Date</t>
  </si>
  <si>
    <t>Receipt_Amount</t>
  </si>
  <si>
    <t>AR_Balance</t>
  </si>
  <si>
    <t>Item_Code</t>
  </si>
  <si>
    <t>Item_Description</t>
  </si>
  <si>
    <t>Approved_Rate</t>
  </si>
  <si>
    <t>Deviation (%)</t>
  </si>
  <si>
    <t>GST_Rate%</t>
  </si>
  <si>
    <t>CGST%</t>
  </si>
  <si>
    <t>SGST%</t>
  </si>
  <si>
    <t>IGST%</t>
  </si>
  <si>
    <t>CGST_Amount</t>
  </si>
  <si>
    <t>SGST_Amount</t>
  </si>
  <si>
    <t>IGST_Amount</t>
  </si>
  <si>
    <t>Invoice_Amount</t>
  </si>
  <si>
    <t>Customer_8</t>
  </si>
  <si>
    <t>DEL5412</t>
  </si>
  <si>
    <t>INV15966</t>
  </si>
  <si>
    <t>ITM0001</t>
  </si>
  <si>
    <t>DEL9070</t>
  </si>
  <si>
    <t>INV68042</t>
  </si>
  <si>
    <t>ITM0002</t>
  </si>
  <si>
    <t>Customer_10</t>
  </si>
  <si>
    <t>DEL7655</t>
  </si>
  <si>
    <t>INV74775</t>
  </si>
  <si>
    <t>ITM0003</t>
  </si>
  <si>
    <t>Customer_9</t>
  </si>
  <si>
    <t>DEL6070</t>
  </si>
  <si>
    <t>INV34019</t>
  </si>
  <si>
    <t>ITM0004</t>
  </si>
  <si>
    <t>DEL7082</t>
  </si>
  <si>
    <t>INV74614</t>
  </si>
  <si>
    <t>ITM0005</t>
  </si>
  <si>
    <t>Customer_1</t>
  </si>
  <si>
    <t>DEL3746</t>
  </si>
  <si>
    <t>INV45632</t>
  </si>
  <si>
    <t>ITM0006</t>
  </si>
  <si>
    <t>Customer_2</t>
  </si>
  <si>
    <t>DEL5586</t>
  </si>
  <si>
    <t>INV38204</t>
  </si>
  <si>
    <t>ITM0007</t>
  </si>
  <si>
    <t>Customer_4</t>
  </si>
  <si>
    <t>DEL5116</t>
  </si>
  <si>
    <t>INV33240</t>
  </si>
  <si>
    <t>ITM0008</t>
  </si>
  <si>
    <t>DEL8376</t>
  </si>
  <si>
    <t>INV96409</t>
  </si>
  <si>
    <t>ITM0009</t>
  </si>
  <si>
    <t>DEL3637</t>
  </si>
  <si>
    <t>INV73700</t>
  </si>
  <si>
    <t>ITM0010</t>
  </si>
  <si>
    <t>DEL3854</t>
  </si>
  <si>
    <t>INV26190</t>
  </si>
  <si>
    <t>ITM0011</t>
  </si>
  <si>
    <t>DEL2915</t>
  </si>
  <si>
    <t>INV47676</t>
  </si>
  <si>
    <t>ITM0012</t>
  </si>
  <si>
    <t>Customer_7</t>
  </si>
  <si>
    <t>DEL5303</t>
  </si>
  <si>
    <t>INV38203</t>
  </si>
  <si>
    <t>ITM0013</t>
  </si>
  <si>
    <t>DEL7765</t>
  </si>
  <si>
    <t>INV47675</t>
  </si>
  <si>
    <t>ITM0014</t>
  </si>
  <si>
    <t>Customer_5</t>
  </si>
  <si>
    <t>DEL8508</t>
  </si>
  <si>
    <t>INV62800</t>
  </si>
  <si>
    <t>ITM0015</t>
  </si>
  <si>
    <t>DEL8150</t>
  </si>
  <si>
    <t>INV14016</t>
  </si>
  <si>
    <t>ITM0016</t>
  </si>
  <si>
    <t>DEL4895</t>
  </si>
  <si>
    <t>INV72030</t>
  </si>
  <si>
    <t>ITM0017</t>
  </si>
  <si>
    <t>DEL5038</t>
  </si>
  <si>
    <t>INV51324</t>
  </si>
  <si>
    <t>ITM0018</t>
  </si>
  <si>
    <t>DEL2202</t>
  </si>
  <si>
    <t>INV49435</t>
  </si>
  <si>
    <t>ITM0019</t>
  </si>
  <si>
    <t>DEL1665</t>
  </si>
  <si>
    <t>INV88807</t>
  </si>
  <si>
    <t>ITM0020</t>
  </si>
  <si>
    <t>DEL5895</t>
  </si>
  <si>
    <t>INV17557</t>
  </si>
  <si>
    <t>ITM0021</t>
  </si>
  <si>
    <t>DEL9828</t>
  </si>
  <si>
    <t>INV22409</t>
  </si>
  <si>
    <t>ITM0022</t>
  </si>
  <si>
    <t>Customer_6</t>
  </si>
  <si>
    <t>DEL8844</t>
  </si>
  <si>
    <t>INV99776</t>
  </si>
  <si>
    <t>ITM0023</t>
  </si>
  <si>
    <t>INV44015</t>
  </si>
  <si>
    <t>ITM0024</t>
  </si>
  <si>
    <t>DEL5317</t>
  </si>
  <si>
    <t>INV99350</t>
  </si>
  <si>
    <t>ITM0025</t>
  </si>
  <si>
    <t>DEL9098</t>
  </si>
  <si>
    <t>INV11332</t>
  </si>
  <si>
    <t>ITM0026</t>
  </si>
  <si>
    <t>Customer_3</t>
  </si>
  <si>
    <t>DEL6773</t>
  </si>
  <si>
    <t>INV55622</t>
  </si>
  <si>
    <t>ITM0027</t>
  </si>
  <si>
    <t>DEL4501</t>
  </si>
  <si>
    <t>INV77035</t>
  </si>
  <si>
    <t>ITM0028</t>
  </si>
  <si>
    <t>DEL8902</t>
  </si>
  <si>
    <t>INV44833</t>
  </si>
  <si>
    <t>ITM0029</t>
  </si>
  <si>
    <t>DEL5222</t>
  </si>
  <si>
    <t>INV33987</t>
  </si>
  <si>
    <t>ITM0030</t>
  </si>
  <si>
    <t>DEL3344</t>
  </si>
  <si>
    <t>INV66733</t>
  </si>
  <si>
    <t>DEL7777</t>
  </si>
  <si>
    <t>INV88012</t>
  </si>
  <si>
    <t>DEL9999</t>
  </si>
  <si>
    <t>INV99001</t>
  </si>
  <si>
    <t>DEL6677</t>
  </si>
  <si>
    <t>INV44322</t>
  </si>
  <si>
    <t>DEL7788</t>
  </si>
  <si>
    <t>INV55678</t>
  </si>
  <si>
    <t>DEL8899</t>
  </si>
  <si>
    <t>INV99012</t>
  </si>
  <si>
    <t>DEL9988</t>
  </si>
  <si>
    <t>INV66789</t>
  </si>
  <si>
    <t>INV99019</t>
  </si>
  <si>
    <t>DEL7780</t>
  </si>
  <si>
    <t>INV55689</t>
  </si>
  <si>
    <t>DEL6670</t>
  </si>
  <si>
    <t>INV44333</t>
  </si>
  <si>
    <t>DEL1666</t>
  </si>
  <si>
    <t>INV88808</t>
  </si>
  <si>
    <t>DEL5890</t>
  </si>
  <si>
    <t>INV17559</t>
  </si>
  <si>
    <t>DEL9830</t>
  </si>
  <si>
    <t>INV22411</t>
  </si>
  <si>
    <t>DEL8895</t>
  </si>
  <si>
    <t>INV99020</t>
  </si>
  <si>
    <t>DEL7781</t>
  </si>
  <si>
    <t>INV55690</t>
  </si>
  <si>
    <t>DEL6671</t>
  </si>
  <si>
    <t>INV44334</t>
  </si>
  <si>
    <t>DEL1667</t>
  </si>
  <si>
    <t>INV88809</t>
  </si>
  <si>
    <t>DEL5891</t>
  </si>
  <si>
    <t>INV17560</t>
  </si>
  <si>
    <t>DEL9831</t>
  </si>
  <si>
    <t>INV22412</t>
  </si>
  <si>
    <t>DEL8896</t>
  </si>
  <si>
    <t>INV99021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</si>
</sst>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4" xfId="0" applyAlignment="1" applyBorder="1" applyFont="1" applyNumberFormat="1">
      <alignment vertical="center"/>
    </xf>
    <xf borderId="1" fillId="0" fontId="2" numFmtId="1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0.5"/>
    <col customWidth="1" min="3" max="3" width="18.63"/>
    <col customWidth="1" min="4" max="4" width="12.0"/>
    <col customWidth="1" min="5" max="5" width="13.88"/>
    <col customWidth="1" min="6" max="6" width="8.5"/>
    <col customWidth="1" min="7" max="7" width="11.0"/>
    <col customWidth="1" min="8" max="8" width="12.63"/>
    <col customWidth="1" min="9" max="9" width="7.5"/>
    <col customWidth="1" min="10" max="10" width="12.5"/>
    <col customWidth="1" min="11" max="11" width="8.5"/>
    <col customWidth="1" min="12" max="13" width="12.5"/>
    <col customWidth="1" min="14" max="14" width="15.88"/>
    <col customWidth="1" min="15" max="15" width="13.38"/>
    <col customWidth="1" min="16" max="16" width="16.0"/>
    <col customWidth="1" min="17" max="17" width="11.38"/>
    <col customWidth="1" min="18" max="18" width="10.88"/>
    <col customWidth="1" min="19" max="19" width="16.63"/>
    <col customWidth="1" min="20" max="20" width="14.63"/>
    <col customWidth="1" min="21" max="21" width="13.38"/>
    <col customWidth="1" min="22" max="22" width="11.13"/>
    <col customWidth="1" min="23" max="23" width="7.5"/>
    <col customWidth="1" min="24" max="24" width="7.38"/>
    <col customWidth="1" min="25" max="25" width="6.63"/>
    <col customWidth="1" min="26" max="26" width="14.0"/>
    <col customWidth="1" min="27" max="27" width="14.5"/>
    <col customWidth="1" min="28" max="28" width="13.13"/>
    <col customWidth="1" min="29" max="29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</row>
    <row r="2">
      <c r="A2" s="4" t="s">
        <v>29</v>
      </c>
      <c r="B2" s="5">
        <v>45308.0</v>
      </c>
      <c r="C2" s="4">
        <v>11.0</v>
      </c>
      <c r="D2" s="4" t="s">
        <v>30</v>
      </c>
      <c r="E2" s="5">
        <v>45316.0</v>
      </c>
      <c r="F2" s="6">
        <f t="shared" ref="F2:F51" si="1">E2-B2</f>
        <v>8</v>
      </c>
      <c r="G2" s="4" t="s">
        <v>31</v>
      </c>
      <c r="H2" s="5">
        <v>45317.0</v>
      </c>
      <c r="I2" s="4">
        <v>75.0</v>
      </c>
      <c r="J2" s="4">
        <v>70.0</v>
      </c>
      <c r="K2" s="4">
        <v>124.0</v>
      </c>
      <c r="L2" s="4">
        <v>124.0</v>
      </c>
      <c r="M2" s="4" t="str">
        <f t="shared" ref="M2:M51" si="2">XLOOKUP(S2,'[1]Material Master'!B:B,'[1]Material Master'!F:F)</f>
        <v>#REF!</v>
      </c>
      <c r="N2" s="7" t="str">
        <f t="shared" ref="N2:N51" si="3">(L2-(L2*M2%))*I2</f>
        <v>#REF!</v>
      </c>
      <c r="O2" s="5">
        <v>45331.0</v>
      </c>
      <c r="P2" s="4">
        <v>8680.0</v>
      </c>
      <c r="Q2" s="4">
        <v>2499.0</v>
      </c>
      <c r="R2" s="4" t="s">
        <v>32</v>
      </c>
      <c r="S2" s="4" t="str">
        <f t="shared" ref="S2:S51" si="4">XLOOKUP(R2,#REF!,'[1]Inventory (Bots X-Y)'!A:A)</f>
        <v>#REF!</v>
      </c>
      <c r="T2" s="4">
        <v>124.0</v>
      </c>
      <c r="U2" s="4">
        <v>0.8</v>
      </c>
      <c r="V2" s="4">
        <v>18.0</v>
      </c>
      <c r="W2" s="4">
        <v>9.0</v>
      </c>
      <c r="X2" s="4">
        <v>9.0</v>
      </c>
      <c r="Y2" s="4">
        <v>0.0</v>
      </c>
      <c r="Z2" s="8" t="str">
        <f t="shared" ref="Z2:Z51" si="5">N2*W2%</f>
        <v>#REF!</v>
      </c>
      <c r="AA2" s="8" t="str">
        <f t="shared" ref="AA2:AA51" si="6">N2*X2%</f>
        <v>#REF!</v>
      </c>
      <c r="AB2" s="8" t="str">
        <f t="shared" ref="AB2:AB51" si="7">N2*Y2%</f>
        <v>#REF!</v>
      </c>
      <c r="AC2" s="7" t="str">
        <f t="shared" ref="AC2:AC51" si="8">N2+Z2+AA2+AB2</f>
        <v>#REF!</v>
      </c>
    </row>
    <row r="3">
      <c r="A3" s="4" t="s">
        <v>29</v>
      </c>
      <c r="B3" s="5">
        <v>45418.0</v>
      </c>
      <c r="C3" s="4">
        <v>18.0</v>
      </c>
      <c r="D3" s="4" t="s">
        <v>33</v>
      </c>
      <c r="E3" s="5">
        <v>45431.0</v>
      </c>
      <c r="F3" s="6">
        <f t="shared" si="1"/>
        <v>13</v>
      </c>
      <c r="G3" s="4" t="s">
        <v>34</v>
      </c>
      <c r="H3" s="5">
        <v>45317.0</v>
      </c>
      <c r="I3" s="4">
        <v>12.0</v>
      </c>
      <c r="J3" s="4">
        <v>22.0</v>
      </c>
      <c r="K3" s="4">
        <v>426.0</v>
      </c>
      <c r="L3" s="4">
        <v>426.0</v>
      </c>
      <c r="M3" s="4" t="str">
        <f t="shared" si="2"/>
        <v>#REF!</v>
      </c>
      <c r="N3" s="7" t="str">
        <f t="shared" si="3"/>
        <v>#REF!</v>
      </c>
      <c r="O3" s="5">
        <v>45444.0</v>
      </c>
      <c r="P3" s="4">
        <v>9372.0</v>
      </c>
      <c r="Q3" s="4">
        <v>18197.0</v>
      </c>
      <c r="R3" s="4" t="s">
        <v>35</v>
      </c>
      <c r="S3" s="4" t="str">
        <f t="shared" si="4"/>
        <v>#REF!</v>
      </c>
      <c r="T3" s="4">
        <v>426.0</v>
      </c>
      <c r="U3" s="4">
        <v>0.93</v>
      </c>
      <c r="V3" s="4">
        <v>18.0</v>
      </c>
      <c r="W3" s="4">
        <v>9.0</v>
      </c>
      <c r="X3" s="4">
        <v>9.0</v>
      </c>
      <c r="Y3" s="4">
        <v>0.0</v>
      </c>
      <c r="Z3" s="8" t="str">
        <f t="shared" si="5"/>
        <v>#REF!</v>
      </c>
      <c r="AA3" s="8" t="str">
        <f t="shared" si="6"/>
        <v>#REF!</v>
      </c>
      <c r="AB3" s="8" t="str">
        <f t="shared" si="7"/>
        <v>#REF!</v>
      </c>
      <c r="AC3" s="7" t="str">
        <f t="shared" si="8"/>
        <v>#REF!</v>
      </c>
    </row>
    <row r="4">
      <c r="A4" s="4" t="s">
        <v>36</v>
      </c>
      <c r="B4" s="5">
        <v>45339.0</v>
      </c>
      <c r="C4" s="4">
        <v>18.0</v>
      </c>
      <c r="D4" s="4" t="s">
        <v>37</v>
      </c>
      <c r="E4" s="5">
        <v>45354.0</v>
      </c>
      <c r="F4" s="6">
        <f t="shared" si="1"/>
        <v>15</v>
      </c>
      <c r="G4" s="4" t="s">
        <v>38</v>
      </c>
      <c r="H4" s="5">
        <v>45354.0</v>
      </c>
      <c r="I4" s="4">
        <v>61.0</v>
      </c>
      <c r="J4" s="4">
        <v>61.0</v>
      </c>
      <c r="K4" s="4">
        <v>455.0</v>
      </c>
      <c r="L4" s="4">
        <v>455.0</v>
      </c>
      <c r="M4" s="4" t="str">
        <f t="shared" si="2"/>
        <v>#REF!</v>
      </c>
      <c r="N4" s="7" t="str">
        <f t="shared" si="3"/>
        <v>#REF!</v>
      </c>
      <c r="O4" s="5">
        <v>45369.0</v>
      </c>
      <c r="P4" s="4">
        <v>29000.0</v>
      </c>
      <c r="Q4" s="4">
        <v>12103.0</v>
      </c>
      <c r="R4" s="4" t="s">
        <v>39</v>
      </c>
      <c r="S4" s="4" t="str">
        <f t="shared" si="4"/>
        <v>#REF!</v>
      </c>
      <c r="T4" s="4">
        <v>455.0</v>
      </c>
      <c r="U4" s="4">
        <v>5.43</v>
      </c>
      <c r="V4" s="4">
        <v>18.0</v>
      </c>
      <c r="W4" s="4">
        <v>9.0</v>
      </c>
      <c r="X4" s="4">
        <v>9.0</v>
      </c>
      <c r="Y4" s="4">
        <v>0.0</v>
      </c>
      <c r="Z4" s="8" t="str">
        <f t="shared" si="5"/>
        <v>#REF!</v>
      </c>
      <c r="AA4" s="8" t="str">
        <f t="shared" si="6"/>
        <v>#REF!</v>
      </c>
      <c r="AB4" s="8" t="str">
        <f t="shared" si="7"/>
        <v>#REF!</v>
      </c>
      <c r="AC4" s="7" t="str">
        <f t="shared" si="8"/>
        <v>#REF!</v>
      </c>
    </row>
    <row r="5">
      <c r="A5" s="4" t="s">
        <v>40</v>
      </c>
      <c r="B5" s="5">
        <v>45464.0</v>
      </c>
      <c r="C5" s="4">
        <v>15.0</v>
      </c>
      <c r="D5" s="4" t="s">
        <v>41</v>
      </c>
      <c r="E5" s="5">
        <v>45477.0</v>
      </c>
      <c r="F5" s="6">
        <f t="shared" si="1"/>
        <v>13</v>
      </c>
      <c r="G5" s="4" t="s">
        <v>42</v>
      </c>
      <c r="H5" s="5">
        <v>45480.0</v>
      </c>
      <c r="I5" s="4">
        <v>50.0</v>
      </c>
      <c r="J5" s="4">
        <v>50.0</v>
      </c>
      <c r="K5" s="4">
        <v>252.0</v>
      </c>
      <c r="L5" s="4">
        <v>252.0</v>
      </c>
      <c r="M5" s="4" t="str">
        <f t="shared" si="2"/>
        <v>#REF!</v>
      </c>
      <c r="N5" s="7" t="str">
        <f t="shared" si="3"/>
        <v>#REF!</v>
      </c>
      <c r="O5" s="5">
        <v>45509.0</v>
      </c>
      <c r="P5" s="4">
        <v>14100.0</v>
      </c>
      <c r="Q5" s="4">
        <v>1735.0</v>
      </c>
      <c r="R5" s="4" t="s">
        <v>43</v>
      </c>
      <c r="S5" s="4" t="str">
        <f t="shared" si="4"/>
        <v>#REF!</v>
      </c>
      <c r="T5" s="4">
        <v>252.0</v>
      </c>
      <c r="U5" s="4">
        <v>8.46</v>
      </c>
      <c r="V5" s="4">
        <v>12.0</v>
      </c>
      <c r="W5" s="4">
        <v>6.0</v>
      </c>
      <c r="X5" s="4">
        <v>6.0</v>
      </c>
      <c r="Y5" s="4">
        <v>0.0</v>
      </c>
      <c r="Z5" s="8" t="str">
        <f t="shared" si="5"/>
        <v>#REF!</v>
      </c>
      <c r="AA5" s="8" t="str">
        <f t="shared" si="6"/>
        <v>#REF!</v>
      </c>
      <c r="AB5" s="8" t="str">
        <f t="shared" si="7"/>
        <v>#REF!</v>
      </c>
      <c r="AC5" s="7" t="str">
        <f t="shared" si="8"/>
        <v>#REF!</v>
      </c>
    </row>
    <row r="6">
      <c r="A6" s="4" t="s">
        <v>36</v>
      </c>
      <c r="B6" s="5">
        <v>45415.0</v>
      </c>
      <c r="C6" s="4">
        <v>6.0</v>
      </c>
      <c r="D6" s="4" t="s">
        <v>44</v>
      </c>
      <c r="E6" s="5">
        <v>45415.0</v>
      </c>
      <c r="F6" s="6">
        <f t="shared" si="1"/>
        <v>0</v>
      </c>
      <c r="G6" s="4" t="s">
        <v>45</v>
      </c>
      <c r="H6" s="5">
        <v>45419.0</v>
      </c>
      <c r="I6" s="4">
        <v>79.0</v>
      </c>
      <c r="J6" s="4">
        <v>74.0</v>
      </c>
      <c r="K6" s="4">
        <v>318.0</v>
      </c>
      <c r="L6" s="4">
        <v>318.0</v>
      </c>
      <c r="M6" s="4" t="str">
        <f t="shared" si="2"/>
        <v>#REF!</v>
      </c>
      <c r="N6" s="7" t="str">
        <f t="shared" si="3"/>
        <v>#REF!</v>
      </c>
      <c r="O6" s="5">
        <v>45427.0</v>
      </c>
      <c r="P6" s="4">
        <v>23532.0</v>
      </c>
      <c r="Q6" s="4">
        <v>6052.0</v>
      </c>
      <c r="R6" s="4" t="s">
        <v>46</v>
      </c>
      <c r="S6" s="4" t="str">
        <f t="shared" si="4"/>
        <v>#REF!</v>
      </c>
      <c r="T6" s="4">
        <v>318.0</v>
      </c>
      <c r="U6" s="4">
        <v>0.63</v>
      </c>
      <c r="V6" s="4">
        <v>18.0</v>
      </c>
      <c r="W6" s="4">
        <v>9.0</v>
      </c>
      <c r="X6" s="4">
        <v>9.0</v>
      </c>
      <c r="Y6" s="4">
        <v>0.0</v>
      </c>
      <c r="Z6" s="8" t="str">
        <f t="shared" si="5"/>
        <v>#REF!</v>
      </c>
      <c r="AA6" s="8" t="str">
        <f t="shared" si="6"/>
        <v>#REF!</v>
      </c>
      <c r="AB6" s="8" t="str">
        <f t="shared" si="7"/>
        <v>#REF!</v>
      </c>
      <c r="AC6" s="7" t="str">
        <f t="shared" si="8"/>
        <v>#REF!</v>
      </c>
    </row>
    <row r="7">
      <c r="A7" s="4" t="s">
        <v>47</v>
      </c>
      <c r="B7" s="5">
        <v>45368.0</v>
      </c>
      <c r="C7" s="4">
        <v>6.0</v>
      </c>
      <c r="D7" s="4" t="s">
        <v>48</v>
      </c>
      <c r="E7" s="5">
        <v>45369.0</v>
      </c>
      <c r="F7" s="6">
        <f t="shared" si="1"/>
        <v>1</v>
      </c>
      <c r="G7" s="4" t="s">
        <v>49</v>
      </c>
      <c r="H7" s="5">
        <v>45370.0</v>
      </c>
      <c r="I7" s="4">
        <v>32.0</v>
      </c>
      <c r="J7" s="4">
        <v>27.0</v>
      </c>
      <c r="K7" s="4">
        <v>431.0</v>
      </c>
      <c r="L7" s="4">
        <v>431.0</v>
      </c>
      <c r="M7" s="4" t="str">
        <f t="shared" si="2"/>
        <v>#REF!</v>
      </c>
      <c r="N7" s="7" t="str">
        <f t="shared" si="3"/>
        <v>#REF!</v>
      </c>
      <c r="O7" s="5">
        <v>45388.0</v>
      </c>
      <c r="P7" s="4">
        <v>11637.0</v>
      </c>
      <c r="Q7" s="4">
        <v>7410.0</v>
      </c>
      <c r="R7" s="4" t="s">
        <v>50</v>
      </c>
      <c r="S7" s="4" t="str">
        <f t="shared" si="4"/>
        <v>#REF!</v>
      </c>
      <c r="T7" s="4">
        <v>431.0</v>
      </c>
      <c r="U7" s="4">
        <v>0.23</v>
      </c>
      <c r="V7" s="4">
        <v>18.0</v>
      </c>
      <c r="W7" s="4">
        <v>9.0</v>
      </c>
      <c r="X7" s="4">
        <v>9.0</v>
      </c>
      <c r="Y7" s="4">
        <v>0.0</v>
      </c>
      <c r="Z7" s="8" t="str">
        <f t="shared" si="5"/>
        <v>#REF!</v>
      </c>
      <c r="AA7" s="8" t="str">
        <f t="shared" si="6"/>
        <v>#REF!</v>
      </c>
      <c r="AB7" s="8" t="str">
        <f t="shared" si="7"/>
        <v>#REF!</v>
      </c>
      <c r="AC7" s="7" t="str">
        <f t="shared" si="8"/>
        <v>#REF!</v>
      </c>
    </row>
    <row r="8">
      <c r="A8" s="4" t="s">
        <v>51</v>
      </c>
      <c r="B8" s="5">
        <v>45417.0</v>
      </c>
      <c r="C8" s="4">
        <v>16.0</v>
      </c>
      <c r="D8" s="4" t="s">
        <v>52</v>
      </c>
      <c r="E8" s="5">
        <v>45425.0</v>
      </c>
      <c r="F8" s="6">
        <f t="shared" si="1"/>
        <v>8</v>
      </c>
      <c r="G8" s="4" t="s">
        <v>53</v>
      </c>
      <c r="H8" s="5">
        <v>45430.0</v>
      </c>
      <c r="I8" s="4">
        <v>7.0</v>
      </c>
      <c r="J8" s="4">
        <v>17.0</v>
      </c>
      <c r="K8" s="4">
        <v>143.0</v>
      </c>
      <c r="L8" s="4">
        <v>143.0</v>
      </c>
      <c r="M8" s="4" t="str">
        <f t="shared" si="2"/>
        <v>#REF!</v>
      </c>
      <c r="N8" s="7" t="str">
        <f t="shared" si="3"/>
        <v>#REF!</v>
      </c>
      <c r="O8" s="5">
        <v>45441.0</v>
      </c>
      <c r="P8" s="4">
        <v>2200.0</v>
      </c>
      <c r="Q8" s="4">
        <v>5867.0</v>
      </c>
      <c r="R8" s="4" t="s">
        <v>54</v>
      </c>
      <c r="S8" s="4" t="str">
        <f t="shared" si="4"/>
        <v>#REF!</v>
      </c>
      <c r="T8" s="4">
        <v>143.0</v>
      </c>
      <c r="U8" s="4">
        <v>4.29</v>
      </c>
      <c r="V8" s="4">
        <v>12.0</v>
      </c>
      <c r="W8" s="4">
        <v>6.0</v>
      </c>
      <c r="X8" s="4">
        <v>6.0</v>
      </c>
      <c r="Y8" s="4">
        <v>0.0</v>
      </c>
      <c r="Z8" s="8" t="str">
        <f t="shared" si="5"/>
        <v>#REF!</v>
      </c>
      <c r="AA8" s="8" t="str">
        <f t="shared" si="6"/>
        <v>#REF!</v>
      </c>
      <c r="AB8" s="8" t="str">
        <f t="shared" si="7"/>
        <v>#REF!</v>
      </c>
      <c r="AC8" s="7" t="str">
        <f t="shared" si="8"/>
        <v>#REF!</v>
      </c>
    </row>
    <row r="9">
      <c r="A9" s="4" t="s">
        <v>55</v>
      </c>
      <c r="B9" s="5">
        <v>45419.0</v>
      </c>
      <c r="C9" s="4">
        <v>10.0</v>
      </c>
      <c r="D9" s="4" t="s">
        <v>56</v>
      </c>
      <c r="E9" s="5">
        <v>45421.0</v>
      </c>
      <c r="F9" s="6">
        <f t="shared" si="1"/>
        <v>2</v>
      </c>
      <c r="G9" s="4" t="s">
        <v>57</v>
      </c>
      <c r="H9" s="5">
        <v>45422.0</v>
      </c>
      <c r="I9" s="4">
        <v>84.0</v>
      </c>
      <c r="J9" s="4">
        <v>94.0</v>
      </c>
      <c r="K9" s="4">
        <v>257.0</v>
      </c>
      <c r="L9" s="4">
        <v>257.0</v>
      </c>
      <c r="M9" s="4" t="str">
        <f t="shared" si="2"/>
        <v>#REF!</v>
      </c>
      <c r="N9" s="7" t="str">
        <f t="shared" si="3"/>
        <v>#REF!</v>
      </c>
      <c r="O9" s="5">
        <v>45428.0</v>
      </c>
      <c r="P9" s="4">
        <v>24158.0</v>
      </c>
      <c r="Q9" s="4">
        <v>11061.0</v>
      </c>
      <c r="R9" s="4" t="s">
        <v>58</v>
      </c>
      <c r="S9" s="4" t="str">
        <f t="shared" si="4"/>
        <v>#REF!</v>
      </c>
      <c r="T9" s="4">
        <v>257.0</v>
      </c>
      <c r="U9" s="4">
        <v>1.15</v>
      </c>
      <c r="V9" s="4">
        <v>18.0</v>
      </c>
      <c r="W9" s="4">
        <v>9.0</v>
      </c>
      <c r="X9" s="4">
        <v>9.0</v>
      </c>
      <c r="Y9" s="4">
        <v>0.0</v>
      </c>
      <c r="Z9" s="8" t="str">
        <f t="shared" si="5"/>
        <v>#REF!</v>
      </c>
      <c r="AA9" s="8" t="str">
        <f t="shared" si="6"/>
        <v>#REF!</v>
      </c>
      <c r="AB9" s="8" t="str">
        <f t="shared" si="7"/>
        <v>#REF!</v>
      </c>
      <c r="AC9" s="7" t="str">
        <f t="shared" si="8"/>
        <v>#REF!</v>
      </c>
    </row>
    <row r="10">
      <c r="A10" s="4" t="s">
        <v>36</v>
      </c>
      <c r="B10" s="5">
        <v>45302.0</v>
      </c>
      <c r="C10" s="4">
        <v>6.0</v>
      </c>
      <c r="D10" s="4" t="s">
        <v>59</v>
      </c>
      <c r="E10" s="5">
        <v>45304.0</v>
      </c>
      <c r="F10" s="6">
        <f t="shared" si="1"/>
        <v>2</v>
      </c>
      <c r="G10" s="4" t="s">
        <v>60</v>
      </c>
      <c r="H10" s="5">
        <v>45306.0</v>
      </c>
      <c r="I10" s="4">
        <v>51.0</v>
      </c>
      <c r="J10" s="4">
        <v>51.0</v>
      </c>
      <c r="K10" s="4">
        <v>454.0</v>
      </c>
      <c r="L10" s="4">
        <v>454.0</v>
      </c>
      <c r="M10" s="4" t="str">
        <f t="shared" si="2"/>
        <v>#REF!</v>
      </c>
      <c r="N10" s="7" t="str">
        <f t="shared" si="3"/>
        <v>#REF!</v>
      </c>
      <c r="O10" s="5">
        <v>45345.0</v>
      </c>
      <c r="P10" s="4">
        <v>23154.0</v>
      </c>
      <c r="Q10" s="4">
        <v>8131.0</v>
      </c>
      <c r="R10" s="4" t="s">
        <v>61</v>
      </c>
      <c r="S10" s="4" t="str">
        <f t="shared" si="4"/>
        <v>#REF!</v>
      </c>
      <c r="T10" s="4">
        <v>454.0</v>
      </c>
      <c r="U10" s="4">
        <v>0.22</v>
      </c>
      <c r="V10" s="4">
        <v>18.0</v>
      </c>
      <c r="W10" s="4">
        <v>9.0</v>
      </c>
      <c r="X10" s="4">
        <v>9.0</v>
      </c>
      <c r="Y10" s="4">
        <v>0.0</v>
      </c>
      <c r="Z10" s="8" t="str">
        <f t="shared" si="5"/>
        <v>#REF!</v>
      </c>
      <c r="AA10" s="8" t="str">
        <f t="shared" si="6"/>
        <v>#REF!</v>
      </c>
      <c r="AB10" s="8" t="str">
        <f t="shared" si="7"/>
        <v>#REF!</v>
      </c>
      <c r="AC10" s="7" t="str">
        <f t="shared" si="8"/>
        <v>#REF!</v>
      </c>
    </row>
    <row r="11">
      <c r="A11" s="4" t="s">
        <v>36</v>
      </c>
      <c r="B11" s="5">
        <v>45307.0</v>
      </c>
      <c r="C11" s="4">
        <v>16.0</v>
      </c>
      <c r="D11" s="4" t="s">
        <v>62</v>
      </c>
      <c r="E11" s="5">
        <v>45315.0</v>
      </c>
      <c r="F11" s="6">
        <f t="shared" si="1"/>
        <v>8</v>
      </c>
      <c r="G11" s="4" t="s">
        <v>63</v>
      </c>
      <c r="H11" s="5">
        <v>45315.0</v>
      </c>
      <c r="I11" s="4">
        <v>65.0</v>
      </c>
      <c r="J11" s="4">
        <v>60.0</v>
      </c>
      <c r="K11" s="4">
        <v>363.0</v>
      </c>
      <c r="L11" s="4">
        <v>363.0</v>
      </c>
      <c r="M11" s="4" t="str">
        <f t="shared" si="2"/>
        <v>#REF!</v>
      </c>
      <c r="N11" s="7" t="str">
        <f t="shared" si="3"/>
        <v>#REF!</v>
      </c>
      <c r="O11" s="5">
        <v>45335.0</v>
      </c>
      <c r="P11" s="4">
        <v>21780.0</v>
      </c>
      <c r="Q11" s="4">
        <v>8697.0</v>
      </c>
      <c r="R11" s="4" t="s">
        <v>64</v>
      </c>
      <c r="S11" s="4" t="str">
        <f t="shared" si="4"/>
        <v>#REF!</v>
      </c>
      <c r="T11" s="4">
        <v>363.0</v>
      </c>
      <c r="U11" s="4">
        <v>0.83</v>
      </c>
      <c r="V11" s="4">
        <v>18.0</v>
      </c>
      <c r="W11" s="4">
        <v>9.0</v>
      </c>
      <c r="X11" s="4">
        <v>9.0</v>
      </c>
      <c r="Y11" s="4">
        <v>0.0</v>
      </c>
      <c r="Z11" s="8" t="str">
        <f t="shared" si="5"/>
        <v>#REF!</v>
      </c>
      <c r="AA11" s="8" t="str">
        <f t="shared" si="6"/>
        <v>#REF!</v>
      </c>
      <c r="AB11" s="8" t="str">
        <f t="shared" si="7"/>
        <v>#REF!</v>
      </c>
      <c r="AC11" s="7" t="str">
        <f t="shared" si="8"/>
        <v>#REF!</v>
      </c>
    </row>
    <row r="12">
      <c r="A12" s="4" t="s">
        <v>40</v>
      </c>
      <c r="B12" s="5">
        <v>45382.0</v>
      </c>
      <c r="C12" s="4">
        <v>16.0</v>
      </c>
      <c r="D12" s="4" t="s">
        <v>65</v>
      </c>
      <c r="E12" s="5">
        <v>45397.0</v>
      </c>
      <c r="F12" s="6">
        <f t="shared" si="1"/>
        <v>15</v>
      </c>
      <c r="G12" s="4" t="s">
        <v>66</v>
      </c>
      <c r="H12" s="5">
        <v>45399.0</v>
      </c>
      <c r="I12" s="4">
        <v>71.0</v>
      </c>
      <c r="J12" s="4">
        <v>71.0</v>
      </c>
      <c r="K12" s="4">
        <v>402.0</v>
      </c>
      <c r="L12" s="4">
        <v>402.0</v>
      </c>
      <c r="M12" s="4" t="str">
        <f t="shared" si="2"/>
        <v>#REF!</v>
      </c>
      <c r="N12" s="7" t="str">
        <f t="shared" si="3"/>
        <v>#REF!</v>
      </c>
      <c r="O12" s="5">
        <v>45425.0</v>
      </c>
      <c r="P12" s="4">
        <v>28542.0</v>
      </c>
      <c r="Q12" s="4">
        <v>7239.0</v>
      </c>
      <c r="R12" s="4" t="s">
        <v>67</v>
      </c>
      <c r="S12" s="4" t="str">
        <f t="shared" si="4"/>
        <v>#REF!</v>
      </c>
      <c r="T12" s="4">
        <v>402.0</v>
      </c>
      <c r="U12" s="4">
        <v>0.5</v>
      </c>
      <c r="V12" s="4">
        <v>18.0</v>
      </c>
      <c r="W12" s="4">
        <v>9.0</v>
      </c>
      <c r="X12" s="4">
        <v>9.0</v>
      </c>
      <c r="Y12" s="4">
        <v>0.0</v>
      </c>
      <c r="Z12" s="8" t="str">
        <f t="shared" si="5"/>
        <v>#REF!</v>
      </c>
      <c r="AA12" s="8" t="str">
        <f t="shared" si="6"/>
        <v>#REF!</v>
      </c>
      <c r="AB12" s="8" t="str">
        <f t="shared" si="7"/>
        <v>#REF!</v>
      </c>
      <c r="AC12" s="7" t="str">
        <f t="shared" si="8"/>
        <v>#REF!</v>
      </c>
    </row>
    <row r="13">
      <c r="A13" s="4" t="s">
        <v>29</v>
      </c>
      <c r="B13" s="5">
        <v>45385.0</v>
      </c>
      <c r="C13" s="4">
        <v>7.0</v>
      </c>
      <c r="D13" s="4" t="s">
        <v>68</v>
      </c>
      <c r="E13" s="5">
        <v>45392.0</v>
      </c>
      <c r="F13" s="6">
        <f t="shared" si="1"/>
        <v>7</v>
      </c>
      <c r="G13" s="4" t="s">
        <v>69</v>
      </c>
      <c r="H13" s="5">
        <v>45392.0</v>
      </c>
      <c r="I13" s="4">
        <v>2.0</v>
      </c>
      <c r="J13" s="4">
        <v>2.0</v>
      </c>
      <c r="K13" s="4">
        <v>493.0</v>
      </c>
      <c r="L13" s="4">
        <v>493.0</v>
      </c>
      <c r="M13" s="4" t="str">
        <f t="shared" si="2"/>
        <v>#REF!</v>
      </c>
      <c r="N13" s="7" t="str">
        <f t="shared" si="3"/>
        <v>#REF!</v>
      </c>
      <c r="O13" s="5">
        <v>45430.0</v>
      </c>
      <c r="P13" s="4">
        <v>986.0</v>
      </c>
      <c r="Q13" s="4">
        <v>1170.0</v>
      </c>
      <c r="R13" s="4" t="s">
        <v>70</v>
      </c>
      <c r="S13" s="4" t="str">
        <f t="shared" si="4"/>
        <v>#REF!</v>
      </c>
      <c r="T13" s="4">
        <v>493.0</v>
      </c>
      <c r="U13" s="4">
        <v>0.4</v>
      </c>
      <c r="V13" s="4">
        <v>18.0</v>
      </c>
      <c r="W13" s="4">
        <v>9.0</v>
      </c>
      <c r="X13" s="4">
        <v>9.0</v>
      </c>
      <c r="Y13" s="4">
        <v>0.0</v>
      </c>
      <c r="Z13" s="8" t="str">
        <f t="shared" si="5"/>
        <v>#REF!</v>
      </c>
      <c r="AA13" s="8" t="str">
        <f t="shared" si="6"/>
        <v>#REF!</v>
      </c>
      <c r="AB13" s="8" t="str">
        <f t="shared" si="7"/>
        <v>#REF!</v>
      </c>
      <c r="AC13" s="7" t="str">
        <f t="shared" si="8"/>
        <v>#REF!</v>
      </c>
    </row>
    <row r="14">
      <c r="A14" s="4" t="s">
        <v>71</v>
      </c>
      <c r="B14" s="5">
        <v>45326.0</v>
      </c>
      <c r="C14" s="4">
        <v>8.0</v>
      </c>
      <c r="D14" s="4" t="s">
        <v>72</v>
      </c>
      <c r="E14" s="5">
        <v>45330.0</v>
      </c>
      <c r="F14" s="6">
        <f t="shared" si="1"/>
        <v>4</v>
      </c>
      <c r="G14" s="4" t="s">
        <v>73</v>
      </c>
      <c r="H14" s="5">
        <v>45334.0</v>
      </c>
      <c r="I14" s="4">
        <v>23.0</v>
      </c>
      <c r="J14" s="4">
        <v>33.0</v>
      </c>
      <c r="K14" s="4">
        <v>292.0</v>
      </c>
      <c r="L14" s="4">
        <v>292.0</v>
      </c>
      <c r="M14" s="4" t="str">
        <f t="shared" si="2"/>
        <v>#REF!</v>
      </c>
      <c r="N14" s="7" t="str">
        <f t="shared" si="3"/>
        <v>#REF!</v>
      </c>
      <c r="O14" s="5">
        <v>45339.0</v>
      </c>
      <c r="P14" s="4">
        <v>10626.0</v>
      </c>
      <c r="Q14" s="4">
        <v>14314.0</v>
      </c>
      <c r="R14" s="4" t="s">
        <v>74</v>
      </c>
      <c r="S14" s="4" t="str">
        <f t="shared" si="4"/>
        <v>#REF!</v>
      </c>
      <c r="T14" s="4">
        <v>292.0</v>
      </c>
      <c r="U14" s="4">
        <v>7.33</v>
      </c>
      <c r="V14" s="4">
        <v>18.0</v>
      </c>
      <c r="W14" s="4">
        <v>9.0</v>
      </c>
      <c r="X14" s="4">
        <v>9.0</v>
      </c>
      <c r="Y14" s="4">
        <v>0.0</v>
      </c>
      <c r="Z14" s="8" t="str">
        <f t="shared" si="5"/>
        <v>#REF!</v>
      </c>
      <c r="AA14" s="8" t="str">
        <f t="shared" si="6"/>
        <v>#REF!</v>
      </c>
      <c r="AB14" s="8" t="str">
        <f t="shared" si="7"/>
        <v>#REF!</v>
      </c>
      <c r="AC14" s="7" t="str">
        <f t="shared" si="8"/>
        <v>#REF!</v>
      </c>
    </row>
    <row r="15">
      <c r="A15" s="4" t="s">
        <v>40</v>
      </c>
      <c r="B15" s="5">
        <v>45377.0</v>
      </c>
      <c r="C15" s="4">
        <v>12.0</v>
      </c>
      <c r="D15" s="4" t="s">
        <v>75</v>
      </c>
      <c r="E15" s="5">
        <v>45382.0</v>
      </c>
      <c r="F15" s="6">
        <f t="shared" si="1"/>
        <v>5</v>
      </c>
      <c r="G15" s="4" t="s">
        <v>76</v>
      </c>
      <c r="H15" s="5">
        <v>45399.0</v>
      </c>
      <c r="I15" s="4">
        <v>78.0</v>
      </c>
      <c r="J15" s="4">
        <v>78.0</v>
      </c>
      <c r="K15" s="4">
        <v>191.0</v>
      </c>
      <c r="L15" s="4">
        <v>191.0</v>
      </c>
      <c r="M15" s="4" t="str">
        <f t="shared" si="2"/>
        <v>#REF!</v>
      </c>
      <c r="N15" s="7" t="str">
        <f t="shared" si="3"/>
        <v>#REF!</v>
      </c>
      <c r="O15" s="5">
        <v>45428.0</v>
      </c>
      <c r="P15" s="4">
        <v>14898.0</v>
      </c>
      <c r="Q15" s="4">
        <v>1980.0</v>
      </c>
      <c r="R15" s="4" t="s">
        <v>77</v>
      </c>
      <c r="S15" s="4" t="str">
        <f t="shared" si="4"/>
        <v>#REF!</v>
      </c>
      <c r="T15" s="4">
        <v>191.0</v>
      </c>
      <c r="U15" s="4">
        <v>0.53</v>
      </c>
      <c r="V15" s="4">
        <v>18.0</v>
      </c>
      <c r="W15" s="4">
        <v>9.0</v>
      </c>
      <c r="X15" s="4">
        <v>9.0</v>
      </c>
      <c r="Y15" s="4">
        <v>0.0</v>
      </c>
      <c r="Z15" s="8" t="str">
        <f t="shared" si="5"/>
        <v>#REF!</v>
      </c>
      <c r="AA15" s="8" t="str">
        <f t="shared" si="6"/>
        <v>#REF!</v>
      </c>
      <c r="AB15" s="8" t="str">
        <f t="shared" si="7"/>
        <v>#REF!</v>
      </c>
      <c r="AC15" s="7" t="str">
        <f t="shared" si="8"/>
        <v>#REF!</v>
      </c>
    </row>
    <row r="16">
      <c r="A16" s="4" t="s">
        <v>78</v>
      </c>
      <c r="B16" s="5">
        <v>45411.0</v>
      </c>
      <c r="C16" s="4">
        <v>8.0</v>
      </c>
      <c r="D16" s="4" t="s">
        <v>79</v>
      </c>
      <c r="E16" s="5">
        <v>45414.0</v>
      </c>
      <c r="F16" s="6">
        <f t="shared" si="1"/>
        <v>3</v>
      </c>
      <c r="G16" s="4" t="s">
        <v>80</v>
      </c>
      <c r="H16" s="5">
        <v>45417.0</v>
      </c>
      <c r="I16" s="4">
        <v>89.0</v>
      </c>
      <c r="J16" s="4">
        <v>89.0</v>
      </c>
      <c r="K16" s="4">
        <v>326.0</v>
      </c>
      <c r="L16" s="4">
        <v>326.0</v>
      </c>
      <c r="M16" s="4" t="str">
        <f t="shared" si="2"/>
        <v>#REF!</v>
      </c>
      <c r="N16" s="7" t="str">
        <f t="shared" si="3"/>
        <v>#REF!</v>
      </c>
      <c r="O16" s="5">
        <v>45432.0</v>
      </c>
      <c r="P16" s="4">
        <v>28124.0</v>
      </c>
      <c r="Q16" s="4">
        <v>4199.0</v>
      </c>
      <c r="R16" s="4" t="s">
        <v>81</v>
      </c>
      <c r="S16" s="4" t="str">
        <f t="shared" si="4"/>
        <v>#REF!</v>
      </c>
      <c r="T16" s="4">
        <v>326.0</v>
      </c>
      <c r="U16" s="4">
        <v>1.33</v>
      </c>
      <c r="V16" s="4">
        <v>18.0</v>
      </c>
      <c r="W16" s="4">
        <v>9.0</v>
      </c>
      <c r="X16" s="4">
        <v>9.0</v>
      </c>
      <c r="Y16" s="4">
        <v>0.0</v>
      </c>
      <c r="Z16" s="8" t="str">
        <f t="shared" si="5"/>
        <v>#REF!</v>
      </c>
      <c r="AA16" s="8" t="str">
        <f t="shared" si="6"/>
        <v>#REF!</v>
      </c>
      <c r="AB16" s="8" t="str">
        <f t="shared" si="7"/>
        <v>#REF!</v>
      </c>
      <c r="AC16" s="7" t="str">
        <f t="shared" si="8"/>
        <v>#REF!</v>
      </c>
    </row>
    <row r="17">
      <c r="A17" s="4" t="s">
        <v>78</v>
      </c>
      <c r="B17" s="5">
        <v>45437.0</v>
      </c>
      <c r="C17" s="4">
        <v>13.0</v>
      </c>
      <c r="D17" s="4" t="s">
        <v>82</v>
      </c>
      <c r="E17" s="5">
        <v>45450.0</v>
      </c>
      <c r="F17" s="6">
        <f t="shared" si="1"/>
        <v>13</v>
      </c>
      <c r="G17" s="4" t="s">
        <v>83</v>
      </c>
      <c r="H17" s="5">
        <v>45452.0</v>
      </c>
      <c r="I17" s="4">
        <v>45.0</v>
      </c>
      <c r="J17" s="4">
        <v>40.0</v>
      </c>
      <c r="K17" s="4">
        <v>299.0</v>
      </c>
      <c r="L17" s="4">
        <v>299.0</v>
      </c>
      <c r="M17" s="4" t="str">
        <f t="shared" si="2"/>
        <v>#REF!</v>
      </c>
      <c r="N17" s="7" t="str">
        <f t="shared" si="3"/>
        <v>#REF!</v>
      </c>
      <c r="O17" s="5">
        <v>45465.0</v>
      </c>
      <c r="P17" s="4">
        <v>11560.0</v>
      </c>
      <c r="Q17" s="4">
        <v>5376.0</v>
      </c>
      <c r="R17" s="4" t="s">
        <v>84</v>
      </c>
      <c r="S17" s="4" t="str">
        <f t="shared" si="4"/>
        <v>#REF!</v>
      </c>
      <c r="T17" s="4">
        <v>299.0</v>
      </c>
      <c r="U17" s="4">
        <v>3.67</v>
      </c>
      <c r="V17" s="4">
        <v>18.0</v>
      </c>
      <c r="W17" s="4">
        <v>9.0</v>
      </c>
      <c r="X17" s="4">
        <v>9.0</v>
      </c>
      <c r="Y17" s="4">
        <v>0.0</v>
      </c>
      <c r="Z17" s="8" t="str">
        <f t="shared" si="5"/>
        <v>#REF!</v>
      </c>
      <c r="AA17" s="8" t="str">
        <f t="shared" si="6"/>
        <v>#REF!</v>
      </c>
      <c r="AB17" s="8" t="str">
        <f t="shared" si="7"/>
        <v>#REF!</v>
      </c>
      <c r="AC17" s="7" t="str">
        <f t="shared" si="8"/>
        <v>#REF!</v>
      </c>
    </row>
    <row r="18">
      <c r="A18" s="4" t="s">
        <v>51</v>
      </c>
      <c r="B18" s="5">
        <v>45439.0</v>
      </c>
      <c r="C18" s="4">
        <v>10.0</v>
      </c>
      <c r="D18" s="4" t="s">
        <v>85</v>
      </c>
      <c r="E18" s="5">
        <v>45440.0</v>
      </c>
      <c r="F18" s="6">
        <f t="shared" si="1"/>
        <v>1</v>
      </c>
      <c r="G18" s="4" t="s">
        <v>86</v>
      </c>
      <c r="H18" s="5">
        <v>45442.0</v>
      </c>
      <c r="I18" s="4">
        <v>74.0</v>
      </c>
      <c r="J18" s="4">
        <v>74.0</v>
      </c>
      <c r="K18" s="4">
        <v>468.0</v>
      </c>
      <c r="L18" s="4">
        <v>468.0</v>
      </c>
      <c r="M18" s="4" t="str">
        <f t="shared" si="2"/>
        <v>#REF!</v>
      </c>
      <c r="N18" s="7" t="str">
        <f t="shared" si="3"/>
        <v>#REF!</v>
      </c>
      <c r="O18" s="5">
        <v>45469.0</v>
      </c>
      <c r="P18" s="4">
        <v>34632.0</v>
      </c>
      <c r="Q18" s="4">
        <v>4266.0</v>
      </c>
      <c r="R18" s="4" t="s">
        <v>87</v>
      </c>
      <c r="S18" s="4" t="str">
        <f t="shared" si="4"/>
        <v>#REF!</v>
      </c>
      <c r="T18" s="4">
        <v>468.0</v>
      </c>
      <c r="U18" s="4">
        <v>0.43</v>
      </c>
      <c r="V18" s="4">
        <v>18.0</v>
      </c>
      <c r="W18" s="4">
        <v>9.0</v>
      </c>
      <c r="X18" s="4">
        <v>9.0</v>
      </c>
      <c r="Y18" s="4">
        <v>0.0</v>
      </c>
      <c r="Z18" s="8" t="str">
        <f t="shared" si="5"/>
        <v>#REF!</v>
      </c>
      <c r="AA18" s="8" t="str">
        <f t="shared" si="6"/>
        <v>#REF!</v>
      </c>
      <c r="AB18" s="8" t="str">
        <f t="shared" si="7"/>
        <v>#REF!</v>
      </c>
      <c r="AC18" s="7" t="str">
        <f t="shared" si="8"/>
        <v>#REF!</v>
      </c>
    </row>
    <row r="19">
      <c r="A19" s="4" t="s">
        <v>78</v>
      </c>
      <c r="B19" s="5">
        <v>45309.0</v>
      </c>
      <c r="C19" s="4">
        <v>15.0</v>
      </c>
      <c r="D19" s="4" t="s">
        <v>88</v>
      </c>
      <c r="E19" s="5">
        <v>45322.0</v>
      </c>
      <c r="F19" s="6">
        <f t="shared" si="1"/>
        <v>13</v>
      </c>
      <c r="G19" s="4" t="s">
        <v>89</v>
      </c>
      <c r="H19" s="5">
        <v>45325.0</v>
      </c>
      <c r="I19" s="4">
        <v>78.0</v>
      </c>
      <c r="J19" s="4">
        <v>78.0</v>
      </c>
      <c r="K19" s="4">
        <v>194.0</v>
      </c>
      <c r="L19" s="4">
        <v>194.0</v>
      </c>
      <c r="M19" s="4" t="str">
        <f t="shared" si="2"/>
        <v>#REF!</v>
      </c>
      <c r="N19" s="7" t="str">
        <f t="shared" si="3"/>
        <v>#REF!</v>
      </c>
      <c r="O19" s="5">
        <v>45365.0</v>
      </c>
      <c r="P19" s="4">
        <v>14532.0</v>
      </c>
      <c r="Q19" s="4">
        <v>3473.0</v>
      </c>
      <c r="R19" s="4" t="s">
        <v>90</v>
      </c>
      <c r="S19" s="4" t="str">
        <f t="shared" si="4"/>
        <v>#REF!</v>
      </c>
      <c r="T19" s="4">
        <v>194.0</v>
      </c>
      <c r="U19" s="4">
        <v>3.16</v>
      </c>
      <c r="V19" s="4">
        <v>18.0</v>
      </c>
      <c r="W19" s="4">
        <v>9.0</v>
      </c>
      <c r="X19" s="4">
        <v>9.0</v>
      </c>
      <c r="Y19" s="4">
        <v>0.0</v>
      </c>
      <c r="Z19" s="8" t="str">
        <f t="shared" si="5"/>
        <v>#REF!</v>
      </c>
      <c r="AA19" s="8" t="str">
        <f t="shared" si="6"/>
        <v>#REF!</v>
      </c>
      <c r="AB19" s="8" t="str">
        <f t="shared" si="7"/>
        <v>#REF!</v>
      </c>
      <c r="AC19" s="7" t="str">
        <f t="shared" si="8"/>
        <v>#REF!</v>
      </c>
    </row>
    <row r="20">
      <c r="A20" s="4" t="s">
        <v>51</v>
      </c>
      <c r="B20" s="5">
        <v>45406.0</v>
      </c>
      <c r="C20" s="4">
        <v>16.0</v>
      </c>
      <c r="D20" s="4" t="s">
        <v>91</v>
      </c>
      <c r="E20" s="5">
        <v>45407.0</v>
      </c>
      <c r="F20" s="6">
        <f t="shared" si="1"/>
        <v>1</v>
      </c>
      <c r="G20" s="4" t="s">
        <v>92</v>
      </c>
      <c r="H20" s="5">
        <v>45409.0</v>
      </c>
      <c r="I20" s="4">
        <v>83.0</v>
      </c>
      <c r="J20" s="4">
        <v>78.0</v>
      </c>
      <c r="K20" s="4">
        <v>500.0</v>
      </c>
      <c r="L20" s="4">
        <v>500.0</v>
      </c>
      <c r="M20" s="4" t="str">
        <f t="shared" si="2"/>
        <v>#REF!</v>
      </c>
      <c r="N20" s="7" t="str">
        <f t="shared" si="3"/>
        <v>#REF!</v>
      </c>
      <c r="O20" s="5">
        <v>45430.0</v>
      </c>
      <c r="P20" s="4">
        <v>39000.0</v>
      </c>
      <c r="Q20" s="4">
        <v>7476.0</v>
      </c>
      <c r="R20" s="4" t="s">
        <v>93</v>
      </c>
      <c r="S20" s="4" t="str">
        <f t="shared" si="4"/>
        <v>#REF!</v>
      </c>
      <c r="T20" s="4">
        <v>500.0</v>
      </c>
      <c r="U20" s="4">
        <v>1.0</v>
      </c>
      <c r="V20" s="4">
        <v>18.0</v>
      </c>
      <c r="W20" s="4">
        <v>9.0</v>
      </c>
      <c r="X20" s="4">
        <v>9.0</v>
      </c>
      <c r="Y20" s="4">
        <v>0.0</v>
      </c>
      <c r="Z20" s="8" t="str">
        <f t="shared" si="5"/>
        <v>#REF!</v>
      </c>
      <c r="AA20" s="8" t="str">
        <f t="shared" si="6"/>
        <v>#REF!</v>
      </c>
      <c r="AB20" s="8" t="str">
        <f t="shared" si="7"/>
        <v>#REF!</v>
      </c>
      <c r="AC20" s="7" t="str">
        <f t="shared" si="8"/>
        <v>#REF!</v>
      </c>
    </row>
    <row r="21" ht="15.75" customHeight="1">
      <c r="A21" s="4" t="s">
        <v>55</v>
      </c>
      <c r="B21" s="5">
        <v>45405.0</v>
      </c>
      <c r="C21" s="4">
        <v>19.0</v>
      </c>
      <c r="D21" s="4" t="s">
        <v>94</v>
      </c>
      <c r="E21" s="5">
        <v>45418.0</v>
      </c>
      <c r="F21" s="6">
        <f t="shared" si="1"/>
        <v>13</v>
      </c>
      <c r="G21" s="4" t="s">
        <v>95</v>
      </c>
      <c r="H21" s="5">
        <v>45422.0</v>
      </c>
      <c r="I21" s="4">
        <v>39.0</v>
      </c>
      <c r="J21" s="4">
        <v>39.0</v>
      </c>
      <c r="K21" s="4">
        <v>227.0</v>
      </c>
      <c r="L21" s="4">
        <v>227.0</v>
      </c>
      <c r="M21" s="4" t="str">
        <f t="shared" si="2"/>
        <v>#REF!</v>
      </c>
      <c r="N21" s="7" t="str">
        <f t="shared" si="3"/>
        <v>#REF!</v>
      </c>
      <c r="O21" s="5">
        <v>45434.0</v>
      </c>
      <c r="P21" s="4">
        <v>10023.0</v>
      </c>
      <c r="Q21" s="4">
        <v>12121.0</v>
      </c>
      <c r="R21" s="4" t="s">
        <v>96</v>
      </c>
      <c r="S21" s="4" t="str">
        <f t="shared" si="4"/>
        <v>#REF!</v>
      </c>
      <c r="T21" s="4">
        <v>227.0</v>
      </c>
      <c r="U21" s="4">
        <v>11.74</v>
      </c>
      <c r="V21" s="4">
        <v>18.0</v>
      </c>
      <c r="W21" s="4">
        <v>9.0</v>
      </c>
      <c r="X21" s="4">
        <v>9.0</v>
      </c>
      <c r="Y21" s="4">
        <v>0.0</v>
      </c>
      <c r="Z21" s="8" t="str">
        <f t="shared" si="5"/>
        <v>#REF!</v>
      </c>
      <c r="AA21" s="8" t="str">
        <f t="shared" si="6"/>
        <v>#REF!</v>
      </c>
      <c r="AB21" s="8" t="str">
        <f t="shared" si="7"/>
        <v>#REF!</v>
      </c>
      <c r="AC21" s="7" t="str">
        <f t="shared" si="8"/>
        <v>#REF!</v>
      </c>
    </row>
    <row r="22" ht="15.75" customHeight="1">
      <c r="A22" s="4" t="s">
        <v>29</v>
      </c>
      <c r="B22" s="5">
        <v>45387.0</v>
      </c>
      <c r="C22" s="4">
        <v>10.0</v>
      </c>
      <c r="D22" s="4" t="s">
        <v>97</v>
      </c>
      <c r="E22" s="5">
        <v>45397.0</v>
      </c>
      <c r="F22" s="6">
        <f t="shared" si="1"/>
        <v>10</v>
      </c>
      <c r="G22" s="4" t="s">
        <v>98</v>
      </c>
      <c r="H22" s="5">
        <v>45401.0</v>
      </c>
      <c r="I22" s="4">
        <v>95.0</v>
      </c>
      <c r="J22" s="4">
        <v>95.0</v>
      </c>
      <c r="K22" s="4">
        <v>319.0</v>
      </c>
      <c r="L22" s="4">
        <v>319.0</v>
      </c>
      <c r="M22" s="4" t="str">
        <f t="shared" si="2"/>
        <v>#REF!</v>
      </c>
      <c r="N22" s="7" t="str">
        <f t="shared" si="3"/>
        <v>#REF!</v>
      </c>
      <c r="O22" s="5">
        <v>45407.0</v>
      </c>
      <c r="P22" s="4">
        <v>29355.0</v>
      </c>
      <c r="Q22" s="4">
        <v>6038.0</v>
      </c>
      <c r="R22" s="4" t="s">
        <v>99</v>
      </c>
      <c r="S22" s="4" t="str">
        <f t="shared" si="4"/>
        <v>#REF!</v>
      </c>
      <c r="T22" s="4">
        <v>319.0</v>
      </c>
      <c r="U22" s="4">
        <v>3.13</v>
      </c>
      <c r="V22" s="4">
        <v>18.0</v>
      </c>
      <c r="W22" s="4">
        <v>9.0</v>
      </c>
      <c r="X22" s="4">
        <v>9.0</v>
      </c>
      <c r="Y22" s="4">
        <v>0.0</v>
      </c>
      <c r="Z22" s="8" t="str">
        <f t="shared" si="5"/>
        <v>#REF!</v>
      </c>
      <c r="AA22" s="8" t="str">
        <f t="shared" si="6"/>
        <v>#REF!</v>
      </c>
      <c r="AB22" s="8" t="str">
        <f t="shared" si="7"/>
        <v>#REF!</v>
      </c>
      <c r="AC22" s="7" t="str">
        <f t="shared" si="8"/>
        <v>#REF!</v>
      </c>
    </row>
    <row r="23" ht="15.75" customHeight="1">
      <c r="A23" s="4" t="s">
        <v>40</v>
      </c>
      <c r="B23" s="5">
        <v>45397.0</v>
      </c>
      <c r="C23" s="4">
        <v>17.0</v>
      </c>
      <c r="D23" s="4" t="s">
        <v>100</v>
      </c>
      <c r="E23" s="5">
        <v>45402.0</v>
      </c>
      <c r="F23" s="6">
        <f t="shared" si="1"/>
        <v>5</v>
      </c>
      <c r="G23" s="4" t="s">
        <v>101</v>
      </c>
      <c r="H23" s="5">
        <v>45402.0</v>
      </c>
      <c r="I23" s="4">
        <v>88.0</v>
      </c>
      <c r="J23" s="4">
        <v>88.0</v>
      </c>
      <c r="K23" s="4">
        <v>475.0</v>
      </c>
      <c r="L23" s="4">
        <v>475.0</v>
      </c>
      <c r="M23" s="4" t="str">
        <f t="shared" si="2"/>
        <v>#REF!</v>
      </c>
      <c r="N23" s="7" t="str">
        <f t="shared" si="3"/>
        <v>#REF!</v>
      </c>
      <c r="O23" s="5">
        <v>45421.0</v>
      </c>
      <c r="P23" s="4">
        <v>41800.0</v>
      </c>
      <c r="Q23" s="4">
        <v>10180.0</v>
      </c>
      <c r="R23" s="4" t="s">
        <v>102</v>
      </c>
      <c r="S23" s="4" t="str">
        <f t="shared" si="4"/>
        <v>#REF!</v>
      </c>
      <c r="T23" s="4">
        <v>475.0</v>
      </c>
      <c r="U23" s="4">
        <v>1.06</v>
      </c>
      <c r="V23" s="4">
        <v>18.0</v>
      </c>
      <c r="W23" s="4">
        <v>9.0</v>
      </c>
      <c r="X23" s="4">
        <v>9.0</v>
      </c>
      <c r="Y23" s="4">
        <v>0.0</v>
      </c>
      <c r="Z23" s="8" t="str">
        <f t="shared" si="5"/>
        <v>#REF!</v>
      </c>
      <c r="AA23" s="8" t="str">
        <f t="shared" si="6"/>
        <v>#REF!</v>
      </c>
      <c r="AB23" s="8" t="str">
        <f t="shared" si="7"/>
        <v>#REF!</v>
      </c>
      <c r="AC23" s="7" t="str">
        <f t="shared" si="8"/>
        <v>#REF!</v>
      </c>
    </row>
    <row r="24" ht="15.75" customHeight="1">
      <c r="A24" s="4" t="s">
        <v>103</v>
      </c>
      <c r="B24" s="5">
        <v>45432.0</v>
      </c>
      <c r="C24" s="4">
        <v>12.0</v>
      </c>
      <c r="D24" s="4" t="s">
        <v>104</v>
      </c>
      <c r="E24" s="5">
        <v>45440.0</v>
      </c>
      <c r="F24" s="6">
        <f t="shared" si="1"/>
        <v>8</v>
      </c>
      <c r="G24" s="4" t="s">
        <v>105</v>
      </c>
      <c r="H24" s="5">
        <v>45442.0</v>
      </c>
      <c r="I24" s="4">
        <v>62.0</v>
      </c>
      <c r="J24" s="4">
        <v>62.0</v>
      </c>
      <c r="K24" s="4">
        <v>334.0</v>
      </c>
      <c r="L24" s="4">
        <v>334.0</v>
      </c>
      <c r="M24" s="4" t="str">
        <f t="shared" si="2"/>
        <v>#REF!</v>
      </c>
      <c r="N24" s="7" t="str">
        <f t="shared" si="3"/>
        <v>#REF!</v>
      </c>
      <c r="O24" s="5">
        <v>45458.0</v>
      </c>
      <c r="P24" s="4">
        <v>20708.0</v>
      </c>
      <c r="Q24" s="4">
        <v>7982.0</v>
      </c>
      <c r="R24" s="4" t="s">
        <v>106</v>
      </c>
      <c r="S24" s="4" t="str">
        <f t="shared" si="4"/>
        <v>#REF!</v>
      </c>
      <c r="T24" s="4">
        <v>334.0</v>
      </c>
      <c r="U24" s="4">
        <v>0.6</v>
      </c>
      <c r="V24" s="4">
        <v>18.0</v>
      </c>
      <c r="W24" s="4">
        <v>9.0</v>
      </c>
      <c r="X24" s="4">
        <v>9.0</v>
      </c>
      <c r="Y24" s="4">
        <v>0.0</v>
      </c>
      <c r="Z24" s="8" t="str">
        <f t="shared" si="5"/>
        <v>#REF!</v>
      </c>
      <c r="AA24" s="8" t="str">
        <f t="shared" si="6"/>
        <v>#REF!</v>
      </c>
      <c r="AB24" s="8" t="str">
        <f t="shared" si="7"/>
        <v>#REF!</v>
      </c>
      <c r="AC24" s="7" t="str">
        <f t="shared" si="8"/>
        <v>#REF!</v>
      </c>
    </row>
    <row r="25" ht="15.75" customHeight="1">
      <c r="A25" s="4" t="s">
        <v>71</v>
      </c>
      <c r="B25" s="5">
        <v>45422.0</v>
      </c>
      <c r="C25" s="4">
        <v>8.0</v>
      </c>
      <c r="D25" s="4" t="s">
        <v>75</v>
      </c>
      <c r="E25" s="5">
        <v>45430.0</v>
      </c>
      <c r="F25" s="6">
        <f t="shared" si="1"/>
        <v>8</v>
      </c>
      <c r="G25" s="4" t="s">
        <v>107</v>
      </c>
      <c r="H25" s="5">
        <v>45432.0</v>
      </c>
      <c r="I25" s="4">
        <v>53.0</v>
      </c>
      <c r="J25" s="4">
        <v>53.0</v>
      </c>
      <c r="K25" s="4">
        <v>418.0</v>
      </c>
      <c r="L25" s="4">
        <v>418.0</v>
      </c>
      <c r="M25" s="4" t="str">
        <f t="shared" si="2"/>
        <v>#REF!</v>
      </c>
      <c r="N25" s="7" t="str">
        <f t="shared" si="3"/>
        <v>#REF!</v>
      </c>
      <c r="O25" s="5">
        <v>45446.0</v>
      </c>
      <c r="P25" s="4">
        <v>22154.0</v>
      </c>
      <c r="Q25" s="4">
        <v>3987.0</v>
      </c>
      <c r="R25" s="4" t="s">
        <v>108</v>
      </c>
      <c r="S25" s="4" t="str">
        <f t="shared" si="4"/>
        <v>#REF!</v>
      </c>
      <c r="T25" s="4">
        <v>418.0</v>
      </c>
      <c r="U25" s="4">
        <v>0.95</v>
      </c>
      <c r="V25" s="4">
        <v>18.0</v>
      </c>
      <c r="W25" s="4">
        <v>9.0</v>
      </c>
      <c r="X25" s="4">
        <v>9.0</v>
      </c>
      <c r="Y25" s="4">
        <v>0.0</v>
      </c>
      <c r="Z25" s="8" t="str">
        <f t="shared" si="5"/>
        <v>#REF!</v>
      </c>
      <c r="AA25" s="8" t="str">
        <f t="shared" si="6"/>
        <v>#REF!</v>
      </c>
      <c r="AB25" s="8" t="str">
        <f t="shared" si="7"/>
        <v>#REF!</v>
      </c>
      <c r="AC25" s="7" t="str">
        <f t="shared" si="8"/>
        <v>#REF!</v>
      </c>
    </row>
    <row r="26" ht="15.75" customHeight="1">
      <c r="A26" s="4" t="s">
        <v>103</v>
      </c>
      <c r="B26" s="5">
        <v>45365.0</v>
      </c>
      <c r="C26" s="4">
        <v>11.0</v>
      </c>
      <c r="D26" s="4" t="s">
        <v>109</v>
      </c>
      <c r="E26" s="5">
        <v>45371.0</v>
      </c>
      <c r="F26" s="6">
        <f t="shared" si="1"/>
        <v>6</v>
      </c>
      <c r="G26" s="4" t="s">
        <v>110</v>
      </c>
      <c r="H26" s="5">
        <v>45373.0</v>
      </c>
      <c r="I26" s="4">
        <v>81.0</v>
      </c>
      <c r="J26" s="4">
        <v>81.0</v>
      </c>
      <c r="K26" s="4">
        <v>492.0</v>
      </c>
      <c r="L26" s="4">
        <v>492.0</v>
      </c>
      <c r="M26" s="4" t="str">
        <f t="shared" si="2"/>
        <v>#REF!</v>
      </c>
      <c r="N26" s="7" t="str">
        <f t="shared" si="3"/>
        <v>#REF!</v>
      </c>
      <c r="O26" s="5">
        <v>45387.0</v>
      </c>
      <c r="P26" s="4">
        <v>39852.0</v>
      </c>
      <c r="Q26" s="4">
        <v>6234.0</v>
      </c>
      <c r="R26" s="4" t="s">
        <v>111</v>
      </c>
      <c r="S26" s="4" t="str">
        <f t="shared" si="4"/>
        <v>#REF!</v>
      </c>
      <c r="T26" s="4">
        <v>492.0</v>
      </c>
      <c r="U26" s="4">
        <v>0.2</v>
      </c>
      <c r="V26" s="4">
        <v>18.0</v>
      </c>
      <c r="W26" s="4">
        <v>9.0</v>
      </c>
      <c r="X26" s="4">
        <v>9.0</v>
      </c>
      <c r="Y26" s="4">
        <v>0.0</v>
      </c>
      <c r="Z26" s="8" t="str">
        <f t="shared" si="5"/>
        <v>#REF!</v>
      </c>
      <c r="AA26" s="8" t="str">
        <f t="shared" si="6"/>
        <v>#REF!</v>
      </c>
      <c r="AB26" s="8" t="str">
        <f t="shared" si="7"/>
        <v>#REF!</v>
      </c>
      <c r="AC26" s="7" t="str">
        <f t="shared" si="8"/>
        <v>#REF!</v>
      </c>
    </row>
    <row r="27" ht="15.75" customHeight="1">
      <c r="A27" s="4" t="s">
        <v>78</v>
      </c>
      <c r="B27" s="5">
        <v>45414.0</v>
      </c>
      <c r="C27" s="4">
        <v>10.0</v>
      </c>
      <c r="D27" s="4" t="s">
        <v>112</v>
      </c>
      <c r="E27" s="5">
        <v>45422.0</v>
      </c>
      <c r="F27" s="6">
        <f t="shared" si="1"/>
        <v>8</v>
      </c>
      <c r="G27" s="4" t="s">
        <v>113</v>
      </c>
      <c r="H27" s="5">
        <v>45424.0</v>
      </c>
      <c r="I27" s="4">
        <v>92.0</v>
      </c>
      <c r="J27" s="4">
        <v>92.0</v>
      </c>
      <c r="K27" s="4">
        <v>276.0</v>
      </c>
      <c r="L27" s="4">
        <v>276.0</v>
      </c>
      <c r="M27" s="4" t="str">
        <f t="shared" si="2"/>
        <v>#REF!</v>
      </c>
      <c r="N27" s="7" t="str">
        <f t="shared" si="3"/>
        <v>#REF!</v>
      </c>
      <c r="O27" s="5">
        <v>45440.0</v>
      </c>
      <c r="P27" s="4">
        <v>25392.0</v>
      </c>
      <c r="Q27" s="4">
        <v>5488.0</v>
      </c>
      <c r="R27" s="4" t="s">
        <v>114</v>
      </c>
      <c r="S27" s="4" t="str">
        <f t="shared" si="4"/>
        <v>#REF!</v>
      </c>
      <c r="T27" s="4">
        <v>276.0</v>
      </c>
      <c r="U27" s="4">
        <v>1.45</v>
      </c>
      <c r="V27" s="4">
        <v>18.0</v>
      </c>
      <c r="W27" s="4">
        <v>9.0</v>
      </c>
      <c r="X27" s="4">
        <v>9.0</v>
      </c>
      <c r="Y27" s="4">
        <v>0.0</v>
      </c>
      <c r="Z27" s="8" t="str">
        <f t="shared" si="5"/>
        <v>#REF!</v>
      </c>
      <c r="AA27" s="8" t="str">
        <f t="shared" si="6"/>
        <v>#REF!</v>
      </c>
      <c r="AB27" s="8" t="str">
        <f t="shared" si="7"/>
        <v>#REF!</v>
      </c>
      <c r="AC27" s="7" t="str">
        <f t="shared" si="8"/>
        <v>#REF!</v>
      </c>
    </row>
    <row r="28" ht="15.75" customHeight="1">
      <c r="A28" s="4" t="s">
        <v>115</v>
      </c>
      <c r="B28" s="5">
        <v>45454.0</v>
      </c>
      <c r="C28" s="4">
        <v>14.0</v>
      </c>
      <c r="D28" s="4" t="s">
        <v>116</v>
      </c>
      <c r="E28" s="5">
        <v>45461.0</v>
      </c>
      <c r="F28" s="6">
        <f t="shared" si="1"/>
        <v>7</v>
      </c>
      <c r="G28" s="4" t="s">
        <v>117</v>
      </c>
      <c r="H28" s="5">
        <v>45463.0</v>
      </c>
      <c r="I28" s="4">
        <v>37.0</v>
      </c>
      <c r="J28" s="4">
        <v>37.0</v>
      </c>
      <c r="K28" s="4">
        <v>413.0</v>
      </c>
      <c r="L28" s="4">
        <v>413.0</v>
      </c>
      <c r="M28" s="4" t="str">
        <f t="shared" si="2"/>
        <v>#REF!</v>
      </c>
      <c r="N28" s="7" t="str">
        <f t="shared" si="3"/>
        <v>#REF!</v>
      </c>
      <c r="O28" s="5">
        <v>45479.0</v>
      </c>
      <c r="P28" s="4">
        <v>15281.0</v>
      </c>
      <c r="Q28" s="4">
        <v>2850.0</v>
      </c>
      <c r="R28" s="4" t="s">
        <v>118</v>
      </c>
      <c r="S28" s="4" t="str">
        <f t="shared" si="4"/>
        <v>#REF!</v>
      </c>
      <c r="T28" s="4">
        <v>413.0</v>
      </c>
      <c r="U28" s="4">
        <v>0.1</v>
      </c>
      <c r="V28" s="4">
        <v>18.0</v>
      </c>
      <c r="W28" s="4">
        <v>9.0</v>
      </c>
      <c r="X28" s="4">
        <v>9.0</v>
      </c>
      <c r="Y28" s="4">
        <v>0.0</v>
      </c>
      <c r="Z28" s="8" t="str">
        <f t="shared" si="5"/>
        <v>#REF!</v>
      </c>
      <c r="AA28" s="8" t="str">
        <f t="shared" si="6"/>
        <v>#REF!</v>
      </c>
      <c r="AB28" s="8" t="str">
        <f t="shared" si="7"/>
        <v>#REF!</v>
      </c>
      <c r="AC28" s="7" t="str">
        <f t="shared" si="8"/>
        <v>#REF!</v>
      </c>
    </row>
    <row r="29" ht="15.75" customHeight="1">
      <c r="A29" s="4" t="s">
        <v>47</v>
      </c>
      <c r="B29" s="5">
        <v>45399.0</v>
      </c>
      <c r="C29" s="4">
        <v>16.0</v>
      </c>
      <c r="D29" s="4" t="s">
        <v>119</v>
      </c>
      <c r="E29" s="5">
        <v>45407.0</v>
      </c>
      <c r="F29" s="6">
        <f t="shared" si="1"/>
        <v>8</v>
      </c>
      <c r="G29" s="4" t="s">
        <v>120</v>
      </c>
      <c r="H29" s="5">
        <v>45409.0</v>
      </c>
      <c r="I29" s="4">
        <v>79.0</v>
      </c>
      <c r="J29" s="4">
        <v>79.0</v>
      </c>
      <c r="K29" s="4">
        <v>461.0</v>
      </c>
      <c r="L29" s="4">
        <v>461.0</v>
      </c>
      <c r="M29" s="4" t="str">
        <f t="shared" si="2"/>
        <v>#REF!</v>
      </c>
      <c r="N29" s="7" t="str">
        <f t="shared" si="3"/>
        <v>#REF!</v>
      </c>
      <c r="O29" s="5">
        <v>45427.0</v>
      </c>
      <c r="P29" s="4">
        <v>36419.0</v>
      </c>
      <c r="Q29" s="4">
        <v>7820.0</v>
      </c>
      <c r="R29" s="4" t="s">
        <v>121</v>
      </c>
      <c r="S29" s="4" t="str">
        <f t="shared" si="4"/>
        <v>#REF!</v>
      </c>
      <c r="T29" s="4">
        <v>461.0</v>
      </c>
      <c r="U29" s="4">
        <v>0.5</v>
      </c>
      <c r="V29" s="4">
        <v>18.0</v>
      </c>
      <c r="W29" s="4">
        <v>9.0</v>
      </c>
      <c r="X29" s="4">
        <v>9.0</v>
      </c>
      <c r="Y29" s="4">
        <v>0.0</v>
      </c>
      <c r="Z29" s="8" t="str">
        <f t="shared" si="5"/>
        <v>#REF!</v>
      </c>
      <c r="AA29" s="8" t="str">
        <f t="shared" si="6"/>
        <v>#REF!</v>
      </c>
      <c r="AB29" s="8" t="str">
        <f t="shared" si="7"/>
        <v>#REF!</v>
      </c>
      <c r="AC29" s="7" t="str">
        <f t="shared" si="8"/>
        <v>#REF!</v>
      </c>
    </row>
    <row r="30" ht="15.75" customHeight="1">
      <c r="A30" s="4" t="s">
        <v>55</v>
      </c>
      <c r="B30" s="5">
        <v>45434.0</v>
      </c>
      <c r="C30" s="4">
        <v>12.0</v>
      </c>
      <c r="D30" s="4" t="s">
        <v>122</v>
      </c>
      <c r="E30" s="5">
        <v>45442.0</v>
      </c>
      <c r="F30" s="6">
        <f t="shared" si="1"/>
        <v>8</v>
      </c>
      <c r="G30" s="4" t="s">
        <v>123</v>
      </c>
      <c r="H30" s="5">
        <v>45445.0</v>
      </c>
      <c r="I30" s="4">
        <v>47.0</v>
      </c>
      <c r="J30" s="4">
        <v>47.0</v>
      </c>
      <c r="K30" s="4">
        <v>254.0</v>
      </c>
      <c r="L30" s="4">
        <v>254.0</v>
      </c>
      <c r="M30" s="4" t="str">
        <f t="shared" si="2"/>
        <v>#REF!</v>
      </c>
      <c r="N30" s="7" t="str">
        <f t="shared" si="3"/>
        <v>#REF!</v>
      </c>
      <c r="O30" s="5">
        <v>45458.0</v>
      </c>
      <c r="P30" s="4">
        <v>11938.0</v>
      </c>
      <c r="Q30" s="4">
        <v>3410.0</v>
      </c>
      <c r="R30" s="4" t="s">
        <v>124</v>
      </c>
      <c r="S30" s="4" t="str">
        <f t="shared" si="4"/>
        <v>#REF!</v>
      </c>
      <c r="T30" s="4">
        <v>254.0</v>
      </c>
      <c r="U30" s="4">
        <v>0.0</v>
      </c>
      <c r="V30" s="4">
        <v>18.0</v>
      </c>
      <c r="W30" s="4">
        <v>9.0</v>
      </c>
      <c r="X30" s="4">
        <v>9.0</v>
      </c>
      <c r="Y30" s="4">
        <v>0.0</v>
      </c>
      <c r="Z30" s="8" t="str">
        <f t="shared" si="5"/>
        <v>#REF!</v>
      </c>
      <c r="AA30" s="8" t="str">
        <f t="shared" si="6"/>
        <v>#REF!</v>
      </c>
      <c r="AB30" s="8" t="str">
        <f t="shared" si="7"/>
        <v>#REF!</v>
      </c>
      <c r="AC30" s="7" t="str">
        <f t="shared" si="8"/>
        <v>#REF!</v>
      </c>
    </row>
    <row r="31" ht="15.75" customHeight="1">
      <c r="A31" s="4" t="s">
        <v>115</v>
      </c>
      <c r="B31" s="5">
        <v>45418.0</v>
      </c>
      <c r="C31" s="4">
        <v>7.0</v>
      </c>
      <c r="D31" s="4" t="s">
        <v>125</v>
      </c>
      <c r="E31" s="5">
        <v>45425.0</v>
      </c>
      <c r="F31" s="6">
        <f t="shared" si="1"/>
        <v>7</v>
      </c>
      <c r="G31" s="4" t="s">
        <v>126</v>
      </c>
      <c r="H31" s="5">
        <v>45427.0</v>
      </c>
      <c r="I31" s="4">
        <v>56.0</v>
      </c>
      <c r="J31" s="4">
        <v>56.0</v>
      </c>
      <c r="K31" s="4">
        <v>397.0</v>
      </c>
      <c r="L31" s="4">
        <v>397.0</v>
      </c>
      <c r="M31" s="4" t="str">
        <f t="shared" si="2"/>
        <v>#REF!</v>
      </c>
      <c r="N31" s="7" t="str">
        <f t="shared" si="3"/>
        <v>#REF!</v>
      </c>
      <c r="O31" s="5">
        <v>45444.0</v>
      </c>
      <c r="P31" s="4">
        <v>22232.0</v>
      </c>
      <c r="Q31" s="4">
        <v>2981.0</v>
      </c>
      <c r="R31" s="4" t="s">
        <v>127</v>
      </c>
      <c r="S31" s="4" t="str">
        <f t="shared" si="4"/>
        <v>#REF!</v>
      </c>
      <c r="T31" s="4">
        <v>397.0</v>
      </c>
      <c r="U31" s="4">
        <v>0.0</v>
      </c>
      <c r="V31" s="4">
        <v>18.0</v>
      </c>
      <c r="W31" s="4">
        <v>9.0</v>
      </c>
      <c r="X31" s="4">
        <v>9.0</v>
      </c>
      <c r="Y31" s="4">
        <v>0.0</v>
      </c>
      <c r="Z31" s="8" t="str">
        <f t="shared" si="5"/>
        <v>#REF!</v>
      </c>
      <c r="AA31" s="8" t="str">
        <f t="shared" si="6"/>
        <v>#REF!</v>
      </c>
      <c r="AB31" s="8" t="str">
        <f t="shared" si="7"/>
        <v>#REF!</v>
      </c>
      <c r="AC31" s="7" t="str">
        <f t="shared" si="8"/>
        <v>#REF!</v>
      </c>
    </row>
    <row r="32" ht="15.75" customHeight="1">
      <c r="A32" s="4" t="s">
        <v>71</v>
      </c>
      <c r="B32" s="5">
        <v>45360.0</v>
      </c>
      <c r="C32" s="4">
        <v>9.0</v>
      </c>
      <c r="D32" s="4" t="s">
        <v>128</v>
      </c>
      <c r="E32" s="5">
        <v>45369.0</v>
      </c>
      <c r="F32" s="6">
        <f t="shared" si="1"/>
        <v>9</v>
      </c>
      <c r="G32" s="4" t="s">
        <v>129</v>
      </c>
      <c r="H32" s="5">
        <v>45371.0</v>
      </c>
      <c r="I32" s="4">
        <v>84.0</v>
      </c>
      <c r="J32" s="4">
        <v>84.0</v>
      </c>
      <c r="K32" s="4">
        <v>312.0</v>
      </c>
      <c r="L32" s="4">
        <v>312.0</v>
      </c>
      <c r="M32" s="4" t="str">
        <f t="shared" si="2"/>
        <v>#REF!</v>
      </c>
      <c r="N32" s="7" t="str">
        <f t="shared" si="3"/>
        <v>#REF!</v>
      </c>
      <c r="O32" s="5">
        <v>45392.0</v>
      </c>
      <c r="P32" s="4">
        <v>26208.0</v>
      </c>
      <c r="Q32" s="4">
        <v>5843.0</v>
      </c>
      <c r="R32" s="9" t="s">
        <v>32</v>
      </c>
      <c r="S32" s="4" t="str">
        <f t="shared" si="4"/>
        <v>#REF!</v>
      </c>
      <c r="T32" s="4">
        <v>312.0</v>
      </c>
      <c r="U32" s="4">
        <v>0.15</v>
      </c>
      <c r="V32" s="4">
        <v>18.0</v>
      </c>
      <c r="W32" s="4">
        <v>9.0</v>
      </c>
      <c r="X32" s="4">
        <v>9.0</v>
      </c>
      <c r="Y32" s="4">
        <v>0.0</v>
      </c>
      <c r="Z32" s="8" t="str">
        <f t="shared" si="5"/>
        <v>#REF!</v>
      </c>
      <c r="AA32" s="8" t="str">
        <f t="shared" si="6"/>
        <v>#REF!</v>
      </c>
      <c r="AB32" s="8" t="str">
        <f t="shared" si="7"/>
        <v>#REF!</v>
      </c>
      <c r="AC32" s="7" t="str">
        <f t="shared" si="8"/>
        <v>#REF!</v>
      </c>
    </row>
    <row r="33" ht="15.75" customHeight="1">
      <c r="A33" s="4" t="s">
        <v>103</v>
      </c>
      <c r="B33" s="5">
        <v>45399.0</v>
      </c>
      <c r="C33" s="4">
        <v>11.0</v>
      </c>
      <c r="D33" s="4" t="s">
        <v>130</v>
      </c>
      <c r="E33" s="5">
        <v>45410.0</v>
      </c>
      <c r="F33" s="6">
        <f t="shared" si="1"/>
        <v>11</v>
      </c>
      <c r="G33" s="4" t="s">
        <v>131</v>
      </c>
      <c r="H33" s="5">
        <v>45412.0</v>
      </c>
      <c r="I33" s="4">
        <v>68.0</v>
      </c>
      <c r="J33" s="4">
        <v>68.0</v>
      </c>
      <c r="K33" s="4">
        <v>498.0</v>
      </c>
      <c r="L33" s="4">
        <v>498.0</v>
      </c>
      <c r="M33" s="4" t="str">
        <f t="shared" si="2"/>
        <v>#REF!</v>
      </c>
      <c r="N33" s="7" t="str">
        <f t="shared" si="3"/>
        <v>#REF!</v>
      </c>
      <c r="O33" s="5">
        <v>45432.0</v>
      </c>
      <c r="P33" s="4">
        <v>33864.0</v>
      </c>
      <c r="Q33" s="4">
        <v>6480.0</v>
      </c>
      <c r="R33" s="9" t="s">
        <v>35</v>
      </c>
      <c r="S33" s="4" t="str">
        <f t="shared" si="4"/>
        <v>#REF!</v>
      </c>
      <c r="T33" s="4">
        <v>498.0</v>
      </c>
      <c r="U33" s="4">
        <v>0.0</v>
      </c>
      <c r="V33" s="4">
        <v>18.0</v>
      </c>
      <c r="W33" s="4">
        <v>9.0</v>
      </c>
      <c r="X33" s="4">
        <v>9.0</v>
      </c>
      <c r="Y33" s="4">
        <v>0.0</v>
      </c>
      <c r="Z33" s="8" t="str">
        <f t="shared" si="5"/>
        <v>#REF!</v>
      </c>
      <c r="AA33" s="8" t="str">
        <f t="shared" si="6"/>
        <v>#REF!</v>
      </c>
      <c r="AB33" s="8" t="str">
        <f t="shared" si="7"/>
        <v>#REF!</v>
      </c>
      <c r="AC33" s="7" t="str">
        <f t="shared" si="8"/>
        <v>#REF!</v>
      </c>
    </row>
    <row r="34" ht="15.75" customHeight="1">
      <c r="A34" s="4" t="s">
        <v>78</v>
      </c>
      <c r="B34" s="5">
        <v>45433.0</v>
      </c>
      <c r="C34" s="4">
        <v>10.0</v>
      </c>
      <c r="D34" s="4" t="s">
        <v>132</v>
      </c>
      <c r="E34" s="5">
        <v>45443.0</v>
      </c>
      <c r="F34" s="6">
        <f t="shared" si="1"/>
        <v>10</v>
      </c>
      <c r="G34" s="4" t="s">
        <v>133</v>
      </c>
      <c r="H34" s="5">
        <v>45445.0</v>
      </c>
      <c r="I34" s="4">
        <v>91.0</v>
      </c>
      <c r="J34" s="4">
        <v>91.0</v>
      </c>
      <c r="K34" s="4">
        <v>269.0</v>
      </c>
      <c r="L34" s="4">
        <v>269.0</v>
      </c>
      <c r="M34" s="4" t="str">
        <f t="shared" si="2"/>
        <v>#REF!</v>
      </c>
      <c r="N34" s="7" t="str">
        <f t="shared" si="3"/>
        <v>#REF!</v>
      </c>
      <c r="O34" s="5">
        <v>45461.0</v>
      </c>
      <c r="P34" s="4">
        <v>24479.0</v>
      </c>
      <c r="Q34" s="4">
        <v>7021.0</v>
      </c>
      <c r="R34" s="9" t="s">
        <v>39</v>
      </c>
      <c r="S34" s="4" t="str">
        <f t="shared" si="4"/>
        <v>#REF!</v>
      </c>
      <c r="T34" s="4">
        <v>269.0</v>
      </c>
      <c r="U34" s="4">
        <v>0.1</v>
      </c>
      <c r="V34" s="4">
        <v>18.0</v>
      </c>
      <c r="W34" s="4">
        <v>9.0</v>
      </c>
      <c r="X34" s="4">
        <v>9.0</v>
      </c>
      <c r="Y34" s="4">
        <v>0.0</v>
      </c>
      <c r="Z34" s="8" t="str">
        <f t="shared" si="5"/>
        <v>#REF!</v>
      </c>
      <c r="AA34" s="8" t="str">
        <f t="shared" si="6"/>
        <v>#REF!</v>
      </c>
      <c r="AB34" s="8" t="str">
        <f t="shared" si="7"/>
        <v>#REF!</v>
      </c>
      <c r="AC34" s="7" t="str">
        <f t="shared" si="8"/>
        <v>#REF!</v>
      </c>
    </row>
    <row r="35" ht="15.75" customHeight="1">
      <c r="A35" s="4" t="s">
        <v>55</v>
      </c>
      <c r="B35" s="5">
        <v>45468.0</v>
      </c>
      <c r="C35" s="4">
        <v>12.0</v>
      </c>
      <c r="D35" s="4" t="s">
        <v>134</v>
      </c>
      <c r="E35" s="5">
        <v>45479.0</v>
      </c>
      <c r="F35" s="6">
        <f t="shared" si="1"/>
        <v>11</v>
      </c>
      <c r="G35" s="4" t="s">
        <v>135</v>
      </c>
      <c r="H35" s="5">
        <v>45481.0</v>
      </c>
      <c r="I35" s="4">
        <v>53.0</v>
      </c>
      <c r="J35" s="4">
        <v>53.0</v>
      </c>
      <c r="K35" s="4">
        <v>345.0</v>
      </c>
      <c r="L35" s="4">
        <v>345.0</v>
      </c>
      <c r="M35" s="4" t="str">
        <f t="shared" si="2"/>
        <v>#REF!</v>
      </c>
      <c r="N35" s="7" t="str">
        <f t="shared" si="3"/>
        <v>#REF!</v>
      </c>
      <c r="O35" s="5">
        <v>45498.0</v>
      </c>
      <c r="P35" s="4">
        <v>18285.0</v>
      </c>
      <c r="Q35" s="4">
        <v>5192.0</v>
      </c>
      <c r="R35" s="9" t="s">
        <v>43</v>
      </c>
      <c r="S35" s="4" t="str">
        <f t="shared" si="4"/>
        <v>#REF!</v>
      </c>
      <c r="T35" s="4">
        <v>345.0</v>
      </c>
      <c r="U35" s="4">
        <v>0.5</v>
      </c>
      <c r="V35" s="4">
        <v>18.0</v>
      </c>
      <c r="W35" s="4">
        <v>9.0</v>
      </c>
      <c r="X35" s="4">
        <v>9.0</v>
      </c>
      <c r="Y35" s="4">
        <v>0.0</v>
      </c>
      <c r="Z35" s="8" t="str">
        <f t="shared" si="5"/>
        <v>#REF!</v>
      </c>
      <c r="AA35" s="8" t="str">
        <f t="shared" si="6"/>
        <v>#REF!</v>
      </c>
      <c r="AB35" s="8" t="str">
        <f t="shared" si="7"/>
        <v>#REF!</v>
      </c>
      <c r="AC35" s="7" t="str">
        <f t="shared" si="8"/>
        <v>#REF!</v>
      </c>
    </row>
    <row r="36" ht="15.75" customHeight="1">
      <c r="A36" s="4" t="s">
        <v>71</v>
      </c>
      <c r="B36" s="5">
        <v>45454.0</v>
      </c>
      <c r="C36" s="4">
        <v>14.0</v>
      </c>
      <c r="D36" s="4" t="s">
        <v>136</v>
      </c>
      <c r="E36" s="5">
        <v>45463.0</v>
      </c>
      <c r="F36" s="6">
        <f t="shared" si="1"/>
        <v>9</v>
      </c>
      <c r="G36" s="4" t="s">
        <v>137</v>
      </c>
      <c r="H36" s="5">
        <v>45465.0</v>
      </c>
      <c r="I36" s="4">
        <v>72.0</v>
      </c>
      <c r="J36" s="4">
        <v>72.0</v>
      </c>
      <c r="K36" s="4">
        <v>421.0</v>
      </c>
      <c r="L36" s="4">
        <v>421.0</v>
      </c>
      <c r="M36" s="4" t="str">
        <f t="shared" si="2"/>
        <v>#REF!</v>
      </c>
      <c r="N36" s="7" t="str">
        <f t="shared" si="3"/>
        <v>#REF!</v>
      </c>
      <c r="O36" s="5">
        <v>45488.0</v>
      </c>
      <c r="P36" s="4">
        <v>30312.0</v>
      </c>
      <c r="Q36" s="4">
        <v>7890.0</v>
      </c>
      <c r="R36" s="9" t="s">
        <v>46</v>
      </c>
      <c r="S36" s="4" t="str">
        <f t="shared" si="4"/>
        <v>#REF!</v>
      </c>
      <c r="T36" s="4">
        <v>421.0</v>
      </c>
      <c r="U36" s="4">
        <v>0.0</v>
      </c>
      <c r="V36" s="4">
        <v>18.0</v>
      </c>
      <c r="W36" s="4">
        <v>9.0</v>
      </c>
      <c r="X36" s="4">
        <v>9.0</v>
      </c>
      <c r="Y36" s="4">
        <v>0.0</v>
      </c>
      <c r="Z36" s="8" t="str">
        <f t="shared" si="5"/>
        <v>#REF!</v>
      </c>
      <c r="AA36" s="8" t="str">
        <f t="shared" si="6"/>
        <v>#REF!</v>
      </c>
      <c r="AB36" s="8" t="str">
        <f t="shared" si="7"/>
        <v>#REF!</v>
      </c>
      <c r="AC36" s="7" t="str">
        <f t="shared" si="8"/>
        <v>#REF!</v>
      </c>
    </row>
    <row r="37" ht="15.75" customHeight="1">
      <c r="A37" s="4" t="s">
        <v>29</v>
      </c>
      <c r="B37" s="5">
        <v>45475.0</v>
      </c>
      <c r="C37" s="4">
        <v>10.0</v>
      </c>
      <c r="D37" s="4" t="s">
        <v>138</v>
      </c>
      <c r="E37" s="5">
        <v>45484.0</v>
      </c>
      <c r="F37" s="6">
        <f t="shared" si="1"/>
        <v>9</v>
      </c>
      <c r="G37" s="4" t="s">
        <v>139</v>
      </c>
      <c r="H37" s="5">
        <v>45486.0</v>
      </c>
      <c r="I37" s="4">
        <v>88.0</v>
      </c>
      <c r="J37" s="4">
        <v>88.0</v>
      </c>
      <c r="K37" s="4">
        <v>412.0</v>
      </c>
      <c r="L37" s="4">
        <v>412.0</v>
      </c>
      <c r="M37" s="4" t="str">
        <f t="shared" si="2"/>
        <v>#REF!</v>
      </c>
      <c r="N37" s="7" t="str">
        <f t="shared" si="3"/>
        <v>#REF!</v>
      </c>
      <c r="O37" s="5">
        <v>45503.0</v>
      </c>
      <c r="P37" s="4">
        <v>36256.0</v>
      </c>
      <c r="Q37" s="4">
        <v>8942.0</v>
      </c>
      <c r="R37" s="9" t="s">
        <v>50</v>
      </c>
      <c r="S37" s="4" t="str">
        <f t="shared" si="4"/>
        <v>#REF!</v>
      </c>
      <c r="T37" s="4">
        <v>412.0</v>
      </c>
      <c r="U37" s="4">
        <v>0.0</v>
      </c>
      <c r="V37" s="4">
        <v>18.0</v>
      </c>
      <c r="W37" s="4">
        <v>9.0</v>
      </c>
      <c r="X37" s="4">
        <v>9.0</v>
      </c>
      <c r="Y37" s="4">
        <v>0.0</v>
      </c>
      <c r="Z37" s="8" t="str">
        <f t="shared" si="5"/>
        <v>#REF!</v>
      </c>
      <c r="AA37" s="8" t="str">
        <f t="shared" si="6"/>
        <v>#REF!</v>
      </c>
      <c r="AB37" s="8" t="str">
        <f t="shared" si="7"/>
        <v>#REF!</v>
      </c>
      <c r="AC37" s="7" t="str">
        <f t="shared" si="8"/>
        <v>#REF!</v>
      </c>
    </row>
    <row r="38" ht="15.75" customHeight="1">
      <c r="A38" s="4" t="s">
        <v>40</v>
      </c>
      <c r="B38" s="5">
        <v>45492.0</v>
      </c>
      <c r="C38" s="4">
        <v>12.0</v>
      </c>
      <c r="D38" s="4" t="s">
        <v>140</v>
      </c>
      <c r="E38" s="5">
        <v>45501.0</v>
      </c>
      <c r="F38" s="6">
        <f t="shared" si="1"/>
        <v>9</v>
      </c>
      <c r="G38" s="4" t="s">
        <v>141</v>
      </c>
      <c r="H38" s="5">
        <v>45503.0</v>
      </c>
      <c r="I38" s="4">
        <v>61.0</v>
      </c>
      <c r="J38" s="4">
        <v>61.0</v>
      </c>
      <c r="K38" s="4">
        <v>385.0</v>
      </c>
      <c r="L38" s="4">
        <v>385.0</v>
      </c>
      <c r="M38" s="4" t="str">
        <f t="shared" si="2"/>
        <v>#REF!</v>
      </c>
      <c r="N38" s="7" t="str">
        <f t="shared" si="3"/>
        <v>#REF!</v>
      </c>
      <c r="O38" s="5">
        <v>45519.0</v>
      </c>
      <c r="P38" s="4">
        <v>23485.0</v>
      </c>
      <c r="Q38" s="4">
        <v>5895.0</v>
      </c>
      <c r="R38" s="9" t="s">
        <v>54</v>
      </c>
      <c r="S38" s="4" t="str">
        <f t="shared" si="4"/>
        <v>#REF!</v>
      </c>
      <c r="T38" s="4">
        <v>385.0</v>
      </c>
      <c r="U38" s="4">
        <v>0.5</v>
      </c>
      <c r="V38" s="4">
        <v>18.0</v>
      </c>
      <c r="W38" s="4">
        <v>9.0</v>
      </c>
      <c r="X38" s="4">
        <v>9.0</v>
      </c>
      <c r="Y38" s="4">
        <v>0.0</v>
      </c>
      <c r="Z38" s="8" t="str">
        <f t="shared" si="5"/>
        <v>#REF!</v>
      </c>
      <c r="AA38" s="8" t="str">
        <f t="shared" si="6"/>
        <v>#REF!</v>
      </c>
      <c r="AB38" s="8" t="str">
        <f t="shared" si="7"/>
        <v>#REF!</v>
      </c>
      <c r="AC38" s="7" t="str">
        <f t="shared" si="8"/>
        <v>#REF!</v>
      </c>
    </row>
    <row r="39" ht="15.75" customHeight="1">
      <c r="A39" s="4" t="s">
        <v>103</v>
      </c>
      <c r="B39" s="5">
        <v>45498.0</v>
      </c>
      <c r="C39" s="4">
        <v>14.0</v>
      </c>
      <c r="D39" s="4" t="s">
        <v>138</v>
      </c>
      <c r="E39" s="5">
        <v>45507.0</v>
      </c>
      <c r="F39" s="6">
        <f t="shared" si="1"/>
        <v>9</v>
      </c>
      <c r="G39" s="4" t="s">
        <v>142</v>
      </c>
      <c r="H39" s="5">
        <v>45509.0</v>
      </c>
      <c r="I39" s="4">
        <v>92.0</v>
      </c>
      <c r="J39" s="4">
        <v>92.0</v>
      </c>
      <c r="K39" s="4">
        <v>407.0</v>
      </c>
      <c r="L39" s="4">
        <v>407.0</v>
      </c>
      <c r="M39" s="4" t="str">
        <f t="shared" si="2"/>
        <v>#REF!</v>
      </c>
      <c r="N39" s="7" t="str">
        <f t="shared" si="3"/>
        <v>#REF!</v>
      </c>
      <c r="O39" s="5">
        <v>45522.0</v>
      </c>
      <c r="P39" s="4">
        <v>37444.0</v>
      </c>
      <c r="Q39" s="4">
        <v>8602.0</v>
      </c>
      <c r="R39" s="9" t="s">
        <v>58</v>
      </c>
      <c r="S39" s="4" t="str">
        <f t="shared" si="4"/>
        <v>#REF!</v>
      </c>
      <c r="T39" s="4">
        <v>407.0</v>
      </c>
      <c r="U39" s="4">
        <v>0.0</v>
      </c>
      <c r="V39" s="4">
        <v>18.0</v>
      </c>
      <c r="W39" s="4">
        <v>9.0</v>
      </c>
      <c r="X39" s="4">
        <v>9.0</v>
      </c>
      <c r="Y39" s="4">
        <v>0.0</v>
      </c>
      <c r="Z39" s="8" t="str">
        <f t="shared" si="5"/>
        <v>#REF!</v>
      </c>
      <c r="AA39" s="8" t="str">
        <f t="shared" si="6"/>
        <v>#REF!</v>
      </c>
      <c r="AB39" s="8" t="str">
        <f t="shared" si="7"/>
        <v>#REF!</v>
      </c>
      <c r="AC39" s="7" t="str">
        <f t="shared" si="8"/>
        <v>#REF!</v>
      </c>
    </row>
    <row r="40" ht="15.75" customHeight="1">
      <c r="A40" s="4" t="s">
        <v>71</v>
      </c>
      <c r="B40" s="5">
        <v>45503.0</v>
      </c>
      <c r="C40" s="4">
        <v>12.0</v>
      </c>
      <c r="D40" s="4" t="s">
        <v>143</v>
      </c>
      <c r="E40" s="5">
        <v>45513.0</v>
      </c>
      <c r="F40" s="6">
        <f t="shared" si="1"/>
        <v>10</v>
      </c>
      <c r="G40" s="4" t="s">
        <v>144</v>
      </c>
      <c r="H40" s="5">
        <v>45515.0</v>
      </c>
      <c r="I40" s="4">
        <v>77.0</v>
      </c>
      <c r="J40" s="4">
        <v>77.0</v>
      </c>
      <c r="K40" s="4">
        <v>419.0</v>
      </c>
      <c r="L40" s="4">
        <v>419.0</v>
      </c>
      <c r="M40" s="4" t="str">
        <f t="shared" si="2"/>
        <v>#REF!</v>
      </c>
      <c r="N40" s="7" t="str">
        <f t="shared" si="3"/>
        <v>#REF!</v>
      </c>
      <c r="O40" s="5">
        <v>45524.0</v>
      </c>
      <c r="P40" s="4">
        <v>32263.0</v>
      </c>
      <c r="Q40" s="4">
        <v>7283.0</v>
      </c>
      <c r="R40" s="9" t="s">
        <v>61</v>
      </c>
      <c r="S40" s="4" t="str">
        <f t="shared" si="4"/>
        <v>#REF!</v>
      </c>
      <c r="T40" s="4">
        <v>419.0</v>
      </c>
      <c r="U40" s="4">
        <v>0.1</v>
      </c>
      <c r="V40" s="4">
        <v>18.0</v>
      </c>
      <c r="W40" s="4">
        <v>9.0</v>
      </c>
      <c r="X40" s="4">
        <v>9.0</v>
      </c>
      <c r="Y40" s="4">
        <v>0.0</v>
      </c>
      <c r="Z40" s="8" t="str">
        <f t="shared" si="5"/>
        <v>#REF!</v>
      </c>
      <c r="AA40" s="8" t="str">
        <f t="shared" si="6"/>
        <v>#REF!</v>
      </c>
      <c r="AB40" s="8" t="str">
        <f t="shared" si="7"/>
        <v>#REF!</v>
      </c>
      <c r="AC40" s="7" t="str">
        <f t="shared" si="8"/>
        <v>#REF!</v>
      </c>
    </row>
    <row r="41" ht="15.75" customHeight="1">
      <c r="A41" s="4" t="s">
        <v>78</v>
      </c>
      <c r="B41" s="5">
        <v>45509.0</v>
      </c>
      <c r="C41" s="4">
        <v>10.0</v>
      </c>
      <c r="D41" s="4" t="s">
        <v>145</v>
      </c>
      <c r="E41" s="5">
        <v>45518.0</v>
      </c>
      <c r="F41" s="6">
        <f t="shared" si="1"/>
        <v>9</v>
      </c>
      <c r="G41" s="4" t="s">
        <v>146</v>
      </c>
      <c r="H41" s="5">
        <v>45520.0</v>
      </c>
      <c r="I41" s="4">
        <v>85.0</v>
      </c>
      <c r="J41" s="4">
        <v>85.0</v>
      </c>
      <c r="K41" s="4">
        <v>391.0</v>
      </c>
      <c r="L41" s="4">
        <v>391.0</v>
      </c>
      <c r="M41" s="4" t="str">
        <f t="shared" si="2"/>
        <v>#REF!</v>
      </c>
      <c r="N41" s="7" t="str">
        <f t="shared" si="3"/>
        <v>#REF!</v>
      </c>
      <c r="O41" s="5">
        <v>45534.0</v>
      </c>
      <c r="P41" s="4">
        <v>33235.0</v>
      </c>
      <c r="Q41" s="4">
        <v>6525.0</v>
      </c>
      <c r="R41" s="9" t="s">
        <v>64</v>
      </c>
      <c r="S41" s="4" t="str">
        <f t="shared" si="4"/>
        <v>#REF!</v>
      </c>
      <c r="T41" s="4">
        <v>391.0</v>
      </c>
      <c r="U41" s="4">
        <v>0.0</v>
      </c>
      <c r="V41" s="4">
        <v>18.0</v>
      </c>
      <c r="W41" s="4">
        <v>9.0</v>
      </c>
      <c r="X41" s="4">
        <v>9.0</v>
      </c>
      <c r="Y41" s="4">
        <v>0.0</v>
      </c>
      <c r="Z41" s="8" t="str">
        <f t="shared" si="5"/>
        <v>#REF!</v>
      </c>
      <c r="AA41" s="8" t="str">
        <f t="shared" si="6"/>
        <v>#REF!</v>
      </c>
      <c r="AB41" s="8" t="str">
        <f t="shared" si="7"/>
        <v>#REF!</v>
      </c>
      <c r="AC41" s="7" t="str">
        <f t="shared" si="8"/>
        <v>#REF!</v>
      </c>
    </row>
    <row r="42" ht="15.75" customHeight="1">
      <c r="A42" s="4" t="s">
        <v>55</v>
      </c>
      <c r="B42" s="5">
        <v>45516.0</v>
      </c>
      <c r="C42" s="4">
        <v>11.0</v>
      </c>
      <c r="D42" s="4" t="s">
        <v>147</v>
      </c>
      <c r="E42" s="5">
        <v>45526.0</v>
      </c>
      <c r="F42" s="6">
        <f t="shared" si="1"/>
        <v>10</v>
      </c>
      <c r="G42" s="4" t="s">
        <v>148</v>
      </c>
      <c r="H42" s="5">
        <v>45528.0</v>
      </c>
      <c r="I42" s="4">
        <v>63.0</v>
      </c>
      <c r="J42" s="4">
        <v>63.0</v>
      </c>
      <c r="K42" s="4">
        <v>412.0</v>
      </c>
      <c r="L42" s="4">
        <v>412.0</v>
      </c>
      <c r="M42" s="4" t="str">
        <f t="shared" si="2"/>
        <v>#REF!</v>
      </c>
      <c r="N42" s="7" t="str">
        <f t="shared" si="3"/>
        <v>#REF!</v>
      </c>
      <c r="O42" s="5">
        <v>45543.0</v>
      </c>
      <c r="P42" s="4">
        <v>25956.0</v>
      </c>
      <c r="Q42" s="4">
        <v>4862.0</v>
      </c>
      <c r="R42" s="9" t="s">
        <v>67</v>
      </c>
      <c r="S42" s="4" t="str">
        <f t="shared" si="4"/>
        <v>#REF!</v>
      </c>
      <c r="T42" s="4">
        <v>412.0</v>
      </c>
      <c r="U42" s="4">
        <v>0.15</v>
      </c>
      <c r="V42" s="4">
        <v>18.0</v>
      </c>
      <c r="W42" s="4">
        <v>9.0</v>
      </c>
      <c r="X42" s="4">
        <v>9.0</v>
      </c>
      <c r="Y42" s="4">
        <v>0.0</v>
      </c>
      <c r="Z42" s="8" t="str">
        <f t="shared" si="5"/>
        <v>#REF!</v>
      </c>
      <c r="AA42" s="8" t="str">
        <f t="shared" si="6"/>
        <v>#REF!</v>
      </c>
      <c r="AB42" s="8" t="str">
        <f t="shared" si="7"/>
        <v>#REF!</v>
      </c>
      <c r="AC42" s="7" t="str">
        <f t="shared" si="8"/>
        <v>#REF!</v>
      </c>
    </row>
    <row r="43" ht="15.75" customHeight="1">
      <c r="A43" s="4" t="s">
        <v>29</v>
      </c>
      <c r="B43" s="5">
        <v>45524.0</v>
      </c>
      <c r="C43" s="4">
        <v>10.0</v>
      </c>
      <c r="D43" s="4" t="s">
        <v>149</v>
      </c>
      <c r="E43" s="5">
        <v>45534.0</v>
      </c>
      <c r="F43" s="6">
        <f t="shared" si="1"/>
        <v>10</v>
      </c>
      <c r="G43" s="4" t="s">
        <v>150</v>
      </c>
      <c r="H43" s="5">
        <v>45536.0</v>
      </c>
      <c r="I43" s="4">
        <v>88.0</v>
      </c>
      <c r="J43" s="4">
        <v>88.0</v>
      </c>
      <c r="K43" s="4">
        <v>423.0</v>
      </c>
      <c r="L43" s="4">
        <v>423.0</v>
      </c>
      <c r="M43" s="4" t="str">
        <f t="shared" si="2"/>
        <v>#REF!</v>
      </c>
      <c r="N43" s="7" t="str">
        <f t="shared" si="3"/>
        <v>#REF!</v>
      </c>
      <c r="O43" s="5">
        <v>45550.0</v>
      </c>
      <c r="P43" s="4">
        <v>37224.0</v>
      </c>
      <c r="Q43" s="4">
        <v>8476.0</v>
      </c>
      <c r="R43" s="9" t="s">
        <v>70</v>
      </c>
      <c r="S43" s="4" t="str">
        <f t="shared" si="4"/>
        <v>#REF!</v>
      </c>
      <c r="T43" s="4">
        <v>423.0</v>
      </c>
      <c r="U43" s="4">
        <v>0.15</v>
      </c>
      <c r="V43" s="4">
        <v>18.0</v>
      </c>
      <c r="W43" s="4">
        <v>9.0</v>
      </c>
      <c r="X43" s="4">
        <v>9.0</v>
      </c>
      <c r="Y43" s="4">
        <v>0.0</v>
      </c>
      <c r="Z43" s="8" t="str">
        <f t="shared" si="5"/>
        <v>#REF!</v>
      </c>
      <c r="AA43" s="8" t="str">
        <f t="shared" si="6"/>
        <v>#REF!</v>
      </c>
      <c r="AB43" s="8" t="str">
        <f t="shared" si="7"/>
        <v>#REF!</v>
      </c>
      <c r="AC43" s="7" t="str">
        <f t="shared" si="8"/>
        <v>#REF!</v>
      </c>
    </row>
    <row r="44" ht="15.75" customHeight="1">
      <c r="A44" s="4" t="s">
        <v>40</v>
      </c>
      <c r="B44" s="5">
        <v>45529.0</v>
      </c>
      <c r="C44" s="4">
        <v>12.0</v>
      </c>
      <c r="D44" s="4" t="s">
        <v>151</v>
      </c>
      <c r="E44" s="5">
        <v>45538.0</v>
      </c>
      <c r="F44" s="6">
        <f t="shared" si="1"/>
        <v>9</v>
      </c>
      <c r="G44" s="4" t="s">
        <v>152</v>
      </c>
      <c r="H44" s="5">
        <v>45540.0</v>
      </c>
      <c r="I44" s="4">
        <v>92.0</v>
      </c>
      <c r="J44" s="4">
        <v>92.0</v>
      </c>
      <c r="K44" s="4">
        <v>409.0</v>
      </c>
      <c r="L44" s="4">
        <v>409.0</v>
      </c>
      <c r="M44" s="4" t="str">
        <f t="shared" si="2"/>
        <v>#REF!</v>
      </c>
      <c r="N44" s="7" t="str">
        <f t="shared" si="3"/>
        <v>#REF!</v>
      </c>
      <c r="O44" s="5">
        <v>45555.0</v>
      </c>
      <c r="P44" s="4">
        <v>37628.0</v>
      </c>
      <c r="Q44" s="4">
        <v>8620.0</v>
      </c>
      <c r="R44" s="9" t="s">
        <v>74</v>
      </c>
      <c r="S44" s="4" t="str">
        <f t="shared" si="4"/>
        <v>#REF!</v>
      </c>
      <c r="T44" s="4">
        <v>409.0</v>
      </c>
      <c r="U44" s="4">
        <v>0.0</v>
      </c>
      <c r="V44" s="4">
        <v>18.0</v>
      </c>
      <c r="W44" s="4">
        <v>9.0</v>
      </c>
      <c r="X44" s="4">
        <v>9.0</v>
      </c>
      <c r="Y44" s="4">
        <v>0.0</v>
      </c>
      <c r="Z44" s="8" t="str">
        <f t="shared" si="5"/>
        <v>#REF!</v>
      </c>
      <c r="AA44" s="8" t="str">
        <f t="shared" si="6"/>
        <v>#REF!</v>
      </c>
      <c r="AB44" s="8" t="str">
        <f t="shared" si="7"/>
        <v>#REF!</v>
      </c>
      <c r="AC44" s="7" t="str">
        <f t="shared" si="8"/>
        <v>#REF!</v>
      </c>
    </row>
    <row r="45" ht="15.75" customHeight="1">
      <c r="A45" s="4" t="s">
        <v>103</v>
      </c>
      <c r="B45" s="5">
        <v>45534.0</v>
      </c>
      <c r="C45" s="4">
        <v>14.0</v>
      </c>
      <c r="D45" s="4" t="s">
        <v>153</v>
      </c>
      <c r="E45" s="5">
        <v>45544.0</v>
      </c>
      <c r="F45" s="6">
        <f t="shared" si="1"/>
        <v>10</v>
      </c>
      <c r="G45" s="4" t="s">
        <v>154</v>
      </c>
      <c r="H45" s="5">
        <v>45546.0</v>
      </c>
      <c r="I45" s="4">
        <v>68.0</v>
      </c>
      <c r="J45" s="4">
        <v>68.0</v>
      </c>
      <c r="K45" s="4">
        <v>412.0</v>
      </c>
      <c r="L45" s="4">
        <v>412.0</v>
      </c>
      <c r="M45" s="4" t="str">
        <f t="shared" si="2"/>
        <v>#REF!</v>
      </c>
      <c r="N45" s="7" t="str">
        <f t="shared" si="3"/>
        <v>#REF!</v>
      </c>
      <c r="O45" s="5">
        <v>45560.0</v>
      </c>
      <c r="P45" s="4">
        <v>28016.0</v>
      </c>
      <c r="Q45" s="4">
        <v>5052.0</v>
      </c>
      <c r="R45" s="9" t="s">
        <v>77</v>
      </c>
      <c r="S45" s="4" t="str">
        <f t="shared" si="4"/>
        <v>#REF!</v>
      </c>
      <c r="T45" s="4">
        <v>412.0</v>
      </c>
      <c r="U45" s="4">
        <v>0.0</v>
      </c>
      <c r="V45" s="4">
        <v>18.0</v>
      </c>
      <c r="W45" s="4">
        <v>9.0</v>
      </c>
      <c r="X45" s="4">
        <v>9.0</v>
      </c>
      <c r="Y45" s="4">
        <v>0.0</v>
      </c>
      <c r="Z45" s="8" t="str">
        <f t="shared" si="5"/>
        <v>#REF!</v>
      </c>
      <c r="AA45" s="8" t="str">
        <f t="shared" si="6"/>
        <v>#REF!</v>
      </c>
      <c r="AB45" s="8" t="str">
        <f t="shared" si="7"/>
        <v>#REF!</v>
      </c>
      <c r="AC45" s="7" t="str">
        <f t="shared" si="8"/>
        <v>#REF!</v>
      </c>
    </row>
    <row r="46" ht="15.75" customHeight="1">
      <c r="A46" s="4" t="s">
        <v>71</v>
      </c>
      <c r="B46" s="5">
        <v>45540.0</v>
      </c>
      <c r="C46" s="4">
        <v>12.0</v>
      </c>
      <c r="D46" s="4" t="s">
        <v>155</v>
      </c>
      <c r="E46" s="5">
        <v>45549.0</v>
      </c>
      <c r="F46" s="6">
        <f t="shared" si="1"/>
        <v>9</v>
      </c>
      <c r="G46" s="4" t="s">
        <v>156</v>
      </c>
      <c r="H46" s="5">
        <v>45551.0</v>
      </c>
      <c r="I46" s="4">
        <v>77.0</v>
      </c>
      <c r="J46" s="4">
        <v>77.0</v>
      </c>
      <c r="K46" s="4">
        <v>416.0</v>
      </c>
      <c r="L46" s="4">
        <v>416.0</v>
      </c>
      <c r="M46" s="4" t="str">
        <f t="shared" si="2"/>
        <v>#REF!</v>
      </c>
      <c r="N46" s="7" t="str">
        <f t="shared" si="3"/>
        <v>#REF!</v>
      </c>
      <c r="O46" s="5">
        <v>45565.0</v>
      </c>
      <c r="P46" s="4">
        <v>32032.0</v>
      </c>
      <c r="Q46" s="4">
        <v>6990.0</v>
      </c>
      <c r="R46" s="9" t="s">
        <v>81</v>
      </c>
      <c r="S46" s="4" t="str">
        <f t="shared" si="4"/>
        <v>#REF!</v>
      </c>
      <c r="T46" s="4">
        <v>416.0</v>
      </c>
      <c r="U46" s="4">
        <v>0.15</v>
      </c>
      <c r="V46" s="4">
        <v>18.0</v>
      </c>
      <c r="W46" s="4">
        <v>9.0</v>
      </c>
      <c r="X46" s="4">
        <v>9.0</v>
      </c>
      <c r="Y46" s="4">
        <v>0.0</v>
      </c>
      <c r="Z46" s="8" t="str">
        <f t="shared" si="5"/>
        <v>#REF!</v>
      </c>
      <c r="AA46" s="8" t="str">
        <f t="shared" si="6"/>
        <v>#REF!</v>
      </c>
      <c r="AB46" s="8" t="str">
        <f t="shared" si="7"/>
        <v>#REF!</v>
      </c>
      <c r="AC46" s="7" t="str">
        <f t="shared" si="8"/>
        <v>#REF!</v>
      </c>
    </row>
    <row r="47" ht="15.75" customHeight="1">
      <c r="A47" s="4" t="s">
        <v>78</v>
      </c>
      <c r="B47" s="5">
        <v>45547.0</v>
      </c>
      <c r="C47" s="4">
        <v>10.0</v>
      </c>
      <c r="D47" s="4" t="s">
        <v>157</v>
      </c>
      <c r="E47" s="5">
        <v>45556.0</v>
      </c>
      <c r="F47" s="6">
        <f t="shared" si="1"/>
        <v>9</v>
      </c>
      <c r="G47" s="4" t="s">
        <v>158</v>
      </c>
      <c r="H47" s="5">
        <v>45558.0</v>
      </c>
      <c r="I47" s="4">
        <v>85.0</v>
      </c>
      <c r="J47" s="4">
        <v>85.0</v>
      </c>
      <c r="K47" s="4">
        <v>398.0</v>
      </c>
      <c r="L47" s="4">
        <v>398.0</v>
      </c>
      <c r="M47" s="4" t="str">
        <f t="shared" si="2"/>
        <v>#REF!</v>
      </c>
      <c r="N47" s="7" t="str">
        <f t="shared" si="3"/>
        <v>#REF!</v>
      </c>
      <c r="O47" s="5">
        <v>45575.0</v>
      </c>
      <c r="P47" s="4">
        <v>33830.0</v>
      </c>
      <c r="Q47" s="4">
        <v>6082.0</v>
      </c>
      <c r="R47" s="9" t="s">
        <v>84</v>
      </c>
      <c r="S47" s="4" t="str">
        <f t="shared" si="4"/>
        <v>#REF!</v>
      </c>
      <c r="T47" s="4">
        <v>398.0</v>
      </c>
      <c r="U47" s="4">
        <v>0.0</v>
      </c>
      <c r="V47" s="4">
        <v>18.0</v>
      </c>
      <c r="W47" s="4">
        <v>9.0</v>
      </c>
      <c r="X47" s="4">
        <v>9.0</v>
      </c>
      <c r="Y47" s="4">
        <v>0.0</v>
      </c>
      <c r="Z47" s="8" t="str">
        <f t="shared" si="5"/>
        <v>#REF!</v>
      </c>
      <c r="AA47" s="8" t="str">
        <f t="shared" si="6"/>
        <v>#REF!</v>
      </c>
      <c r="AB47" s="8" t="str">
        <f t="shared" si="7"/>
        <v>#REF!</v>
      </c>
      <c r="AC47" s="7" t="str">
        <f t="shared" si="8"/>
        <v>#REF!</v>
      </c>
    </row>
    <row r="48" ht="15.75" customHeight="1">
      <c r="A48" s="4" t="s">
        <v>55</v>
      </c>
      <c r="B48" s="5">
        <v>45554.0</v>
      </c>
      <c r="C48" s="4">
        <v>11.0</v>
      </c>
      <c r="D48" s="4" t="s">
        <v>159</v>
      </c>
      <c r="E48" s="5">
        <v>45564.0</v>
      </c>
      <c r="F48" s="6">
        <f t="shared" si="1"/>
        <v>10</v>
      </c>
      <c r="G48" s="4" t="s">
        <v>160</v>
      </c>
      <c r="H48" s="5">
        <v>45566.0</v>
      </c>
      <c r="I48" s="4">
        <v>63.0</v>
      </c>
      <c r="J48" s="4">
        <v>63.0</v>
      </c>
      <c r="K48" s="4">
        <v>414.0</v>
      </c>
      <c r="L48" s="4">
        <v>414.0</v>
      </c>
      <c r="M48" s="4" t="str">
        <f t="shared" si="2"/>
        <v>#REF!</v>
      </c>
      <c r="N48" s="7" t="str">
        <f t="shared" si="3"/>
        <v>#REF!</v>
      </c>
      <c r="O48" s="5">
        <v>45580.0</v>
      </c>
      <c r="P48" s="4">
        <v>26082.0</v>
      </c>
      <c r="Q48" s="4">
        <v>4680.0</v>
      </c>
      <c r="R48" s="9" t="s">
        <v>87</v>
      </c>
      <c r="S48" s="4" t="str">
        <f t="shared" si="4"/>
        <v>#REF!</v>
      </c>
      <c r="T48" s="4">
        <v>414.0</v>
      </c>
      <c r="U48" s="4">
        <v>0.2</v>
      </c>
      <c r="V48" s="4">
        <v>18.0</v>
      </c>
      <c r="W48" s="4">
        <v>9.0</v>
      </c>
      <c r="X48" s="4">
        <v>9.0</v>
      </c>
      <c r="Y48" s="4">
        <v>0.0</v>
      </c>
      <c r="Z48" s="8" t="str">
        <f t="shared" si="5"/>
        <v>#REF!</v>
      </c>
      <c r="AA48" s="8" t="str">
        <f t="shared" si="6"/>
        <v>#REF!</v>
      </c>
      <c r="AB48" s="8" t="str">
        <f t="shared" si="7"/>
        <v>#REF!</v>
      </c>
      <c r="AC48" s="7" t="str">
        <f t="shared" si="8"/>
        <v>#REF!</v>
      </c>
    </row>
    <row r="49" ht="15.75" customHeight="1">
      <c r="A49" s="4" t="s">
        <v>29</v>
      </c>
      <c r="B49" s="5">
        <v>45561.0</v>
      </c>
      <c r="C49" s="4">
        <v>10.0</v>
      </c>
      <c r="D49" s="4" t="s">
        <v>161</v>
      </c>
      <c r="E49" s="5">
        <v>45571.0</v>
      </c>
      <c r="F49" s="6">
        <f t="shared" si="1"/>
        <v>10</v>
      </c>
      <c r="G49" s="4" t="s">
        <v>162</v>
      </c>
      <c r="H49" s="5">
        <v>45573.0</v>
      </c>
      <c r="I49" s="4">
        <v>88.0</v>
      </c>
      <c r="J49" s="4">
        <v>88.0</v>
      </c>
      <c r="K49" s="4">
        <v>425.0</v>
      </c>
      <c r="L49" s="4">
        <v>425.0</v>
      </c>
      <c r="M49" s="4" t="str">
        <f t="shared" si="2"/>
        <v>#REF!</v>
      </c>
      <c r="N49" s="7" t="str">
        <f t="shared" si="3"/>
        <v>#REF!</v>
      </c>
      <c r="O49" s="5">
        <v>45590.0</v>
      </c>
      <c r="P49" s="4">
        <v>37400.0</v>
      </c>
      <c r="Q49" s="4">
        <v>8490.0</v>
      </c>
      <c r="R49" s="9" t="s">
        <v>90</v>
      </c>
      <c r="S49" s="4" t="str">
        <f t="shared" si="4"/>
        <v>#REF!</v>
      </c>
      <c r="T49" s="4">
        <v>425.0</v>
      </c>
      <c r="U49" s="4">
        <v>0.0</v>
      </c>
      <c r="V49" s="4">
        <v>18.0</v>
      </c>
      <c r="W49" s="4">
        <v>9.0</v>
      </c>
      <c r="X49" s="4">
        <v>9.0</v>
      </c>
      <c r="Y49" s="4">
        <v>0.0</v>
      </c>
      <c r="Z49" s="8" t="str">
        <f t="shared" si="5"/>
        <v>#REF!</v>
      </c>
      <c r="AA49" s="8" t="str">
        <f t="shared" si="6"/>
        <v>#REF!</v>
      </c>
      <c r="AB49" s="8" t="str">
        <f t="shared" si="7"/>
        <v>#REF!</v>
      </c>
      <c r="AC49" s="7" t="str">
        <f t="shared" si="8"/>
        <v>#REF!</v>
      </c>
    </row>
    <row r="50" ht="15.75" customHeight="1">
      <c r="A50" s="4" t="s">
        <v>40</v>
      </c>
      <c r="B50" s="5">
        <v>45566.0</v>
      </c>
      <c r="C50" s="4">
        <v>12.0</v>
      </c>
      <c r="D50" s="4" t="s">
        <v>163</v>
      </c>
      <c r="E50" s="5">
        <v>45575.0</v>
      </c>
      <c r="F50" s="6">
        <f t="shared" si="1"/>
        <v>9</v>
      </c>
      <c r="G50" s="4" t="s">
        <v>164</v>
      </c>
      <c r="H50" s="5">
        <v>45577.0</v>
      </c>
      <c r="I50" s="4">
        <v>92.0</v>
      </c>
      <c r="J50" s="4">
        <v>92.0</v>
      </c>
      <c r="K50" s="4">
        <v>411.0</v>
      </c>
      <c r="L50" s="4">
        <v>411.0</v>
      </c>
      <c r="M50" s="4" t="str">
        <f t="shared" si="2"/>
        <v>#REF!</v>
      </c>
      <c r="N50" s="7" t="str">
        <f t="shared" si="3"/>
        <v>#REF!</v>
      </c>
      <c r="O50" s="5">
        <v>45593.0</v>
      </c>
      <c r="P50" s="4">
        <v>37812.0</v>
      </c>
      <c r="Q50" s="4">
        <v>8620.0</v>
      </c>
      <c r="R50" s="9" t="s">
        <v>93</v>
      </c>
      <c r="S50" s="4" t="str">
        <f t="shared" si="4"/>
        <v>#REF!</v>
      </c>
      <c r="T50" s="4">
        <v>411.0</v>
      </c>
      <c r="U50" s="4">
        <v>0.15</v>
      </c>
      <c r="V50" s="4">
        <v>18.0</v>
      </c>
      <c r="W50" s="4">
        <v>9.0</v>
      </c>
      <c r="X50" s="4">
        <v>9.0</v>
      </c>
      <c r="Y50" s="4">
        <v>0.0</v>
      </c>
      <c r="Z50" s="8" t="str">
        <f t="shared" si="5"/>
        <v>#REF!</v>
      </c>
      <c r="AA50" s="8" t="str">
        <f t="shared" si="6"/>
        <v>#REF!</v>
      </c>
      <c r="AB50" s="8" t="str">
        <f t="shared" si="7"/>
        <v>#REF!</v>
      </c>
      <c r="AC50" s="7" t="str">
        <f t="shared" si="8"/>
        <v>#REF!</v>
      </c>
    </row>
    <row r="51" ht="15.75" customHeight="1">
      <c r="A51" s="4" t="s">
        <v>103</v>
      </c>
      <c r="B51" s="5">
        <v>45572.0</v>
      </c>
      <c r="C51" s="4">
        <v>14.0</v>
      </c>
      <c r="D51" s="4" t="s">
        <v>165</v>
      </c>
      <c r="E51" s="5">
        <v>45581.0</v>
      </c>
      <c r="F51" s="6">
        <f t="shared" si="1"/>
        <v>9</v>
      </c>
      <c r="G51" s="4" t="s">
        <v>166</v>
      </c>
      <c r="H51" s="5">
        <v>45583.0</v>
      </c>
      <c r="I51" s="4">
        <v>68.0</v>
      </c>
      <c r="J51" s="4">
        <v>68.0</v>
      </c>
      <c r="K51" s="4">
        <v>415.0</v>
      </c>
      <c r="L51" s="4">
        <v>415.0</v>
      </c>
      <c r="M51" s="4" t="str">
        <f t="shared" si="2"/>
        <v>#REF!</v>
      </c>
      <c r="N51" s="7" t="str">
        <f t="shared" si="3"/>
        <v>#REF!</v>
      </c>
      <c r="O51" s="5">
        <v>45601.0</v>
      </c>
      <c r="P51" s="4">
        <v>28220.0</v>
      </c>
      <c r="Q51" s="4">
        <v>5052.0</v>
      </c>
      <c r="R51" s="9" t="s">
        <v>96</v>
      </c>
      <c r="S51" s="4" t="str">
        <f t="shared" si="4"/>
        <v>#REF!</v>
      </c>
      <c r="T51" s="4">
        <v>415.0</v>
      </c>
      <c r="U51" s="4">
        <v>0.0</v>
      </c>
      <c r="V51" s="4">
        <v>18.0</v>
      </c>
      <c r="W51" s="4">
        <v>9.0</v>
      </c>
      <c r="X51" s="4">
        <v>9.0</v>
      </c>
      <c r="Y51" s="4">
        <v>0.0</v>
      </c>
      <c r="Z51" s="8" t="str">
        <f t="shared" si="5"/>
        <v>#REF!</v>
      </c>
      <c r="AA51" s="8" t="str">
        <f t="shared" si="6"/>
        <v>#REF!</v>
      </c>
      <c r="AB51" s="8" t="str">
        <f t="shared" si="7"/>
        <v>#REF!</v>
      </c>
      <c r="AC51" s="7" t="str">
        <f t="shared" si="8"/>
        <v>#REF!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